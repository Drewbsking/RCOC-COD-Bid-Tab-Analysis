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clamug_rcoc_org/Documents/Desktop/2024 County-Wide Legend Program/"/>
    </mc:Choice>
  </mc:AlternateContent>
  <xr:revisionPtr revIDLastSave="5" documentId="14_{8B4088E7-4323-40FE-8ECF-F95EF63D5D75}" xr6:coauthVersionLast="47" xr6:coauthVersionMax="47" xr10:uidLastSave="{5E23E75C-3114-48D9-A63B-31B11CBEE4CD}"/>
  <bookViews>
    <workbookView xWindow="-28920" yWindow="-120" windowWidth="29040" windowHeight="1584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3" l="1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</calcChain>
</file>

<file path=xl/sharedStrings.xml><?xml version="1.0" encoding="utf-8"?>
<sst xmlns="http://schemas.openxmlformats.org/spreadsheetml/2006/main" count="64" uniqueCount="52">
  <si>
    <t>Solicitation Information</t>
  </si>
  <si>
    <t>Agency:</t>
  </si>
  <si>
    <t>Road Commission for Oakland County</t>
  </si>
  <si>
    <t>Number:</t>
  </si>
  <si>
    <t>Description:</t>
  </si>
  <si>
    <t>2024 COUNTY-WIDE PAVEMENT LEGEND PROGRAM - A contract for installation of cold plastic pavement markings on various roads located in Oakland County, Michigan.</t>
  </si>
  <si>
    <t>Deadline:</t>
  </si>
  <si>
    <t>2024-02-20 16:00:00 UTC</t>
  </si>
  <si>
    <t>Location(s):</t>
  </si>
  <si>
    <t>Oakland, Michigan</t>
  </si>
  <si>
    <t>Bidders</t>
  </si>
  <si>
    <t>Business Name</t>
  </si>
  <si>
    <t>Address</t>
  </si>
  <si>
    <t>Phone</t>
  </si>
  <si>
    <t>P.K. Contracting, Inc.</t>
  </si>
  <si>
    <t>1965 Barrett Dr, Troy, MI 48084-5372</t>
  </si>
  <si>
    <t>(248) 362-2130</t>
  </si>
  <si>
    <t>Item</t>
  </si>
  <si>
    <t>Quantity</t>
  </si>
  <si>
    <t>Price</t>
  </si>
  <si>
    <t>Extension</t>
  </si>
  <si>
    <t>Schedule of Items (Itemized Bid Sheet)</t>
  </si>
  <si>
    <t>8110024 - Pavt Mrkg, Ovly Cold Plastic, 6 inch, Crosswalk - Ft</t>
  </si>
  <si>
    <t>8110044 - Pavt Mrkg, Ovly Cold Plastic, 18 inch, Stop Bar - Ft</t>
  </si>
  <si>
    <t>8110045 - Pavt Mrkg, Ovly Cold Plastic, 24 Inch, Stop Bar - Ft</t>
  </si>
  <si>
    <t>8110063 - Pavt Mrkg, Ovly Cold Plastic, Lt Turn Arrow Sym - Ea</t>
  </si>
  <si>
    <t>8110068 - Pavt Mrkg, Ovly Cold Plastic, Only - Ea</t>
  </si>
  <si>
    <t>8110069 - Pavt Mrkg, Ovly Cold Plastic, Railroad Sym - Ea</t>
  </si>
  <si>
    <t>8110071 - Pavt Mrkg, Ovly Cold Plastic, Rt Turn Arrow Sym - Ea</t>
  </si>
  <si>
    <t>8110074 - Pavt Mrkg, Ovly Cold Plastic, School - Ea</t>
  </si>
  <si>
    <t>8110076 - Pavt Mrkg, Ovly Cold Plastic, Thru and Lt Turn Arrow Sym - Ea</t>
  </si>
  <si>
    <t>8110077 - Pavt Mrkg, Ovly Cold Plastic, Thru and Rt Turn Arrow Sym - Ea</t>
  </si>
  <si>
    <t>8110078 - Pavt Mrkg, Ovly Cold Plastic, Thru Arrow Sym - Ea</t>
  </si>
  <si>
    <t>8110343 - Rem Spec Mrkg - Sft</t>
  </si>
  <si>
    <t>8110453 - Recessing Pavt Mrkg, Guide Line - Ft</t>
  </si>
  <si>
    <t>8110562 - Pavt Mrkg, Ovly Cold Plastic, 6 inch, Dotted Turning Guide Line, White - Ft</t>
  </si>
  <si>
    <t>8117050 - _Call Back, Mobilization - Ea</t>
  </si>
  <si>
    <t>8117050 - _Pavt Mrkg, Ovly Cold Plastic, Circle (Roundabout) Sym - Ea</t>
  </si>
  <si>
    <t>16 Items</t>
  </si>
  <si>
    <t>Totals</t>
  </si>
  <si>
    <t/>
  </si>
  <si>
    <t>February 20, 2024 / 11:00 AM</t>
  </si>
  <si>
    <t>Notes (color code):</t>
  </si>
  <si>
    <t>Low bid item meeting specifications</t>
  </si>
  <si>
    <t>Low bid Item not meeting specifications</t>
  </si>
  <si>
    <t>Price Comparison Information</t>
  </si>
  <si>
    <t>Bid Unit Price Comparison</t>
  </si>
  <si>
    <t>2023    Unit Price</t>
  </si>
  <si>
    <t>2023-2024 Unit Price Difference</t>
  </si>
  <si>
    <t>2023-2024 Percent Difference</t>
  </si>
  <si>
    <t>Agency Estimate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</si>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</sst>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&quot;$&quot;#,##0.000"/>
  </numFmts>
  <fonts count="11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1"/>
      <name val="Arial"/>
      <family val="1"/>
    </font>
    <font>
      <b/>
      <sz val="11"/>
      <name val="Arial"/>
      <family val="2"/>
    </font>
    <font>
      <i/>
      <sz val="11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sz val="10"/>
      <name val="Arial"/>
      <family val="1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6" fillId="0" borderId="0" xfId="0" applyFont="1" applyAlignment="1">
      <alignment horizontal="left"/>
    </xf>
    <xf numFmtId="0" fontId="2" fillId="4" borderId="4" xfId="0" applyFont="1" applyFill="1" applyBorder="1" applyAlignment="1">
      <alignment horizontal="center" vertical="top" wrapText="1" readingOrder="1"/>
    </xf>
    <xf numFmtId="44" fontId="0" fillId="0" borderId="4" xfId="1" applyFont="1" applyBorder="1" applyAlignment="1">
      <alignment vertical="top" readingOrder="2"/>
    </xf>
    <xf numFmtId="43" fontId="0" fillId="0" borderId="4" xfId="0" applyNumberFormat="1" applyBorder="1" applyAlignment="1">
      <alignment vertical="top" readingOrder="2"/>
    </xf>
    <xf numFmtId="0" fontId="0" fillId="0" borderId="4" xfId="0" applyBorder="1" applyAlignment="1">
      <alignment vertical="top" wrapText="1" readingOrder="1"/>
    </xf>
    <xf numFmtId="164" fontId="0" fillId="0" borderId="4" xfId="0" applyNumberFormat="1" applyBorder="1" applyAlignment="1">
      <alignment horizontal="center" vertical="top" wrapText="1" readingOrder="2"/>
    </xf>
    <xf numFmtId="0" fontId="0" fillId="0" borderId="8" xfId="0" applyBorder="1" applyAlignment="1">
      <alignment vertical="top" wrapText="1" readingOrder="1"/>
    </xf>
    <xf numFmtId="164" fontId="0" fillId="0" borderId="8" xfId="0" applyNumberFormat="1" applyBorder="1" applyAlignment="1">
      <alignment horizontal="center" vertical="top" wrapText="1" readingOrder="2"/>
    </xf>
    <xf numFmtId="0" fontId="7" fillId="0" borderId="0" xfId="0" applyFont="1" applyAlignment="1">
      <alignment horizontal="left" vertical="top" wrapText="1" readingOrder="1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165" fontId="0" fillId="7" borderId="9" xfId="0" applyNumberFormat="1" applyFill="1" applyBorder="1" applyAlignment="1">
      <alignment horizontal="right"/>
    </xf>
    <xf numFmtId="165" fontId="0" fillId="7" borderId="4" xfId="0" applyNumberFormat="1" applyFill="1" applyBorder="1" applyAlignment="1">
      <alignment horizontal="right"/>
    </xf>
    <xf numFmtId="10" fontId="0" fillId="7" borderId="4" xfId="0" applyNumberFormat="1" applyFill="1" applyBorder="1"/>
    <xf numFmtId="0" fontId="9" fillId="7" borderId="9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wrapText="1"/>
    </xf>
    <xf numFmtId="0" fontId="9" fillId="7" borderId="4" xfId="0" applyFont="1" applyFill="1" applyBorder="1" applyAlignment="1">
      <alignment wrapText="1"/>
    </xf>
    <xf numFmtId="0" fontId="10" fillId="0" borderId="0" xfId="0" applyFont="1"/>
    <xf numFmtId="43" fontId="0" fillId="0" borderId="0" xfId="0" applyNumberFormat="1" applyAlignment="1">
      <alignment vertical="top" readingOrder="2"/>
    </xf>
    <xf numFmtId="44" fontId="0" fillId="5" borderId="4" xfId="1" applyFont="1" applyFill="1" applyBorder="1" applyAlignment="1">
      <alignment vertical="top" readingOrder="2"/>
    </xf>
    <xf numFmtId="43" fontId="0" fillId="5" borderId="4" xfId="0" applyNumberFormat="1" applyFill="1" applyBorder="1" applyAlignment="1">
      <alignment vertical="top" readingOrder="2"/>
    </xf>
    <xf numFmtId="0" fontId="1" fillId="2" borderId="0" xfId="0" applyFont="1" applyFill="1" applyAlignment="1">
      <alignment vertical="top" wrapText="1" readingOrder="1"/>
    </xf>
    <xf numFmtId="0" fontId="6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top" wrapText="1" readingOrder="1"/>
    </xf>
    <xf numFmtId="0" fontId="2" fillId="0" borderId="3" xfId="0" applyFont="1" applyBorder="1" applyAlignment="1">
      <alignment horizontal="center" vertical="top" wrapText="1" readingOrder="1"/>
    </xf>
    <xf numFmtId="0" fontId="6" fillId="7" borderId="9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top" wrapText="1" readingOrder="1"/>
    </xf>
    <xf numFmtId="0" fontId="2" fillId="0" borderId="6" xfId="0" applyFont="1" applyBorder="1" applyAlignment="1">
      <alignment horizontal="right" vertical="top" wrapText="1" readingOrder="1"/>
    </xf>
    <xf numFmtId="44" fontId="6" fillId="0" borderId="7" xfId="1" applyFont="1" applyFill="1" applyBorder="1" applyAlignment="1">
      <alignment horizontal="center" vertical="top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vertical="top" wrapText="1" readingOrder="1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OutlineSymbols="0" showWhiteSpace="0" workbookViewId="0">
      <selection activeCell="A2" sqref="A2:XFD5"/>
    </sheetView>
  </sheetViews>
  <sheetFormatPr defaultRowHeight="14.25" x14ac:dyDescent="0.2"/>
  <cols>
    <col min="1" max="1" width="23" bestFit="1" customWidth="1"/>
    <col min="2" max="2" width="112" bestFit="1" customWidth="1"/>
  </cols>
  <sheetData>
    <row r="1" spans="1:2" x14ac:dyDescent="0.2">
      <c r="A1" s="28" t="s">
        <v>0</v>
      </c>
      <c r="B1" s="28" t="s">
        <v>40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>
        <v>95124</v>
      </c>
    </row>
    <row r="4" spans="1:2" ht="15" x14ac:dyDescent="0.2">
      <c r="A4" s="2" t="s">
        <v>4</v>
      </c>
      <c r="B4" t="s">
        <v>5</v>
      </c>
    </row>
    <row r="5" spans="1:2" ht="15" x14ac:dyDescent="0.2">
      <c r="A5" s="2" t="s">
        <v>6</v>
      </c>
      <c r="B5" t="s">
        <v>7</v>
      </c>
    </row>
    <row r="6" spans="1:2" ht="15" x14ac:dyDescent="0.2">
      <c r="A6" s="2" t="s">
        <v>8</v>
      </c>
    </row>
    <row r="7" spans="1:2" x14ac:dyDescent="0.2">
      <c r="A7" s="1" t="s">
        <v>40</v>
      </c>
      <c r="B7" s="1" t="s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OutlineSymbols="0" showWhiteSpace="0" workbookViewId="0"/>
  </sheetViews>
  <sheetFormatPr defaultRowHeight="14.25" x14ac:dyDescent="0.2"/>
  <cols>
    <col min="1" max="1" width="17.875" bestFit="1" customWidth="1"/>
    <col min="2" max="2" width="32.75" bestFit="1" customWidth="1"/>
    <col min="3" max="3" width="15.25" bestFit="1" customWidth="1"/>
  </cols>
  <sheetData>
    <row r="1" spans="1:3" x14ac:dyDescent="0.2">
      <c r="A1" s="28" t="s">
        <v>10</v>
      </c>
      <c r="B1" s="28" t="s">
        <v>40</v>
      </c>
      <c r="C1" s="28" t="s">
        <v>40</v>
      </c>
    </row>
    <row r="2" spans="1:3" ht="15" x14ac:dyDescent="0.2">
      <c r="A2" s="3" t="s">
        <v>11</v>
      </c>
      <c r="B2" s="3" t="s">
        <v>12</v>
      </c>
      <c r="C2" s="3" t="s">
        <v>13</v>
      </c>
    </row>
    <row r="3" spans="1:3" ht="28.5" x14ac:dyDescent="0.2">
      <c r="A3" s="1" t="s">
        <v>14</v>
      </c>
      <c r="B3" s="1" t="s">
        <v>15</v>
      </c>
      <c r="C3" s="1" t="s">
        <v>16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showOutlineSymbols="0" showWhiteSpace="0" topLeftCell="A5" zoomScale="120" zoomScaleNormal="120" workbookViewId="0">
      <selection activeCell="J15" sqref="J15"/>
    </sheetView>
  </sheetViews>
  <sheetFormatPr defaultRowHeight="14.25" x14ac:dyDescent="0.2"/>
  <cols>
    <col min="1" max="1" width="71.25" customWidth="1"/>
    <col min="2" max="2" width="13.125" customWidth="1"/>
    <col min="3" max="3" width="22.75" bestFit="1" customWidth="1"/>
    <col min="4" max="4" width="12.875" bestFit="1" customWidth="1"/>
    <col min="5" max="6" width="12.25" customWidth="1"/>
    <col min="7" max="7" width="11.625" customWidth="1"/>
    <col min="9" max="9" width="10.875" customWidth="1"/>
  </cols>
  <sheetData>
    <row r="1" spans="1:9" x14ac:dyDescent="0.2">
      <c r="A1" t="s">
        <v>2</v>
      </c>
    </row>
    <row r="2" spans="1:9" ht="15" x14ac:dyDescent="0.25">
      <c r="A2" s="4">
        <v>95124</v>
      </c>
    </row>
    <row r="3" spans="1:9" ht="36" customHeight="1" x14ac:dyDescent="0.25">
      <c r="A3" s="29" t="s">
        <v>5</v>
      </c>
      <c r="B3" s="29"/>
      <c r="C3" s="29"/>
      <c r="D3" s="29"/>
      <c r="E3" s="13" t="s">
        <v>42</v>
      </c>
      <c r="F3" s="13"/>
      <c r="G3" s="13"/>
      <c r="H3" s="13"/>
      <c r="I3" s="13"/>
    </row>
    <row r="4" spans="1:9" x14ac:dyDescent="0.2">
      <c r="A4" t="s">
        <v>41</v>
      </c>
      <c r="E4" s="14"/>
      <c r="F4" s="15" t="s">
        <v>43</v>
      </c>
      <c r="G4" s="15"/>
      <c r="H4" s="15"/>
      <c r="I4" s="15"/>
    </row>
    <row r="5" spans="1:9" x14ac:dyDescent="0.2">
      <c r="E5" s="16"/>
      <c r="F5" s="15" t="s">
        <v>44</v>
      </c>
      <c r="G5" s="15"/>
      <c r="H5" s="15"/>
      <c r="I5" s="15"/>
    </row>
    <row r="6" spans="1:9" x14ac:dyDescent="0.2">
      <c r="A6" s="30" t="s">
        <v>40</v>
      </c>
      <c r="B6" s="31" t="s">
        <v>40</v>
      </c>
      <c r="C6" s="37" t="s">
        <v>14</v>
      </c>
      <c r="D6" s="37" t="s">
        <v>40</v>
      </c>
      <c r="E6" s="17"/>
      <c r="F6" s="15" t="s">
        <v>45</v>
      </c>
      <c r="G6" s="15"/>
      <c r="H6" s="15"/>
      <c r="I6" s="15"/>
    </row>
    <row r="7" spans="1:9" ht="15" customHeight="1" x14ac:dyDescent="0.2">
      <c r="A7" s="5" t="s">
        <v>17</v>
      </c>
      <c r="B7" s="5" t="s">
        <v>18</v>
      </c>
      <c r="C7" s="5" t="s">
        <v>19</v>
      </c>
      <c r="D7" s="5" t="s">
        <v>20</v>
      </c>
      <c r="E7" s="32" t="s">
        <v>46</v>
      </c>
      <c r="F7" s="33"/>
      <c r="G7" s="33"/>
    </row>
    <row r="8" spans="1:9" ht="45" customHeight="1" x14ac:dyDescent="0.2">
      <c r="A8" s="38" t="s">
        <v>21</v>
      </c>
      <c r="B8" s="38" t="s">
        <v>40</v>
      </c>
      <c r="C8" s="38" t="s">
        <v>40</v>
      </c>
      <c r="D8" s="38" t="s">
        <v>40</v>
      </c>
      <c r="E8" s="21" t="s">
        <v>47</v>
      </c>
      <c r="F8" s="22" t="s">
        <v>48</v>
      </c>
      <c r="G8" s="23" t="s">
        <v>49</v>
      </c>
    </row>
    <row r="9" spans="1:9" x14ac:dyDescent="0.2">
      <c r="A9" s="8" t="s">
        <v>22</v>
      </c>
      <c r="B9" s="9">
        <v>16100</v>
      </c>
      <c r="C9" s="26">
        <v>2.75</v>
      </c>
      <c r="D9" s="6">
        <v>44275</v>
      </c>
      <c r="E9" s="18">
        <v>2.5</v>
      </c>
      <c r="F9" s="19">
        <f>SUM(C9-E9)</f>
        <v>0.25</v>
      </c>
      <c r="G9" s="20">
        <f>F9/E9</f>
        <v>0.1</v>
      </c>
      <c r="I9" s="39">
        <f>SUM(C9*0.05+C9)</f>
        <v>2.8875000000000002</v>
      </c>
    </row>
    <row r="10" spans="1:9" x14ac:dyDescent="0.2">
      <c r="A10" s="8" t="s">
        <v>23</v>
      </c>
      <c r="B10" s="9">
        <v>7600</v>
      </c>
      <c r="C10" s="27">
        <v>8.75</v>
      </c>
      <c r="D10" s="7">
        <v>66500</v>
      </c>
      <c r="E10" s="18">
        <v>7.75</v>
      </c>
      <c r="F10" s="19">
        <f t="shared" ref="F10:F24" si="0">SUM(C10-E10)</f>
        <v>1</v>
      </c>
      <c r="G10" s="20">
        <f t="shared" ref="G10:G24" si="1">F10/E10</f>
        <v>0.12903225806451613</v>
      </c>
      <c r="I10" s="39">
        <f t="shared" ref="I10:I24" si="2">SUM(C10*0.05+C10)</f>
        <v>9.1875</v>
      </c>
    </row>
    <row r="11" spans="1:9" x14ac:dyDescent="0.2">
      <c r="A11" s="8" t="s">
        <v>24</v>
      </c>
      <c r="B11" s="9">
        <v>2000</v>
      </c>
      <c r="C11" s="27">
        <v>12.25</v>
      </c>
      <c r="D11" s="7">
        <v>24500</v>
      </c>
      <c r="E11" s="18">
        <v>10.5</v>
      </c>
      <c r="F11" s="19">
        <f t="shared" si="0"/>
        <v>1.75</v>
      </c>
      <c r="G11" s="20">
        <f t="shared" si="1"/>
        <v>0.16666666666666666</v>
      </c>
      <c r="I11" s="39">
        <f t="shared" si="2"/>
        <v>12.862500000000001</v>
      </c>
    </row>
    <row r="12" spans="1:9" x14ac:dyDescent="0.2">
      <c r="A12" s="8" t="s">
        <v>25</v>
      </c>
      <c r="B12" s="9">
        <v>150</v>
      </c>
      <c r="C12" s="27">
        <v>170</v>
      </c>
      <c r="D12" s="7">
        <v>25500</v>
      </c>
      <c r="E12" s="18">
        <v>145</v>
      </c>
      <c r="F12" s="19">
        <f t="shared" si="0"/>
        <v>25</v>
      </c>
      <c r="G12" s="20">
        <f t="shared" si="1"/>
        <v>0.17241379310344829</v>
      </c>
      <c r="I12" s="39">
        <f t="shared" si="2"/>
        <v>178.5</v>
      </c>
    </row>
    <row r="13" spans="1:9" x14ac:dyDescent="0.2">
      <c r="A13" s="8" t="s">
        <v>26</v>
      </c>
      <c r="B13" s="9">
        <v>7</v>
      </c>
      <c r="C13" s="27">
        <v>200</v>
      </c>
      <c r="D13" s="7">
        <v>1400</v>
      </c>
      <c r="E13" s="18">
        <v>160</v>
      </c>
      <c r="F13" s="19">
        <f t="shared" si="0"/>
        <v>40</v>
      </c>
      <c r="G13" s="20">
        <f t="shared" si="1"/>
        <v>0.25</v>
      </c>
      <c r="I13" s="39">
        <f t="shared" si="2"/>
        <v>210</v>
      </c>
    </row>
    <row r="14" spans="1:9" x14ac:dyDescent="0.2">
      <c r="A14" s="8" t="s">
        <v>27</v>
      </c>
      <c r="B14" s="9">
        <v>15</v>
      </c>
      <c r="C14" s="27">
        <v>425</v>
      </c>
      <c r="D14" s="7">
        <v>6375</v>
      </c>
      <c r="E14" s="18">
        <v>350</v>
      </c>
      <c r="F14" s="19">
        <f t="shared" si="0"/>
        <v>75</v>
      </c>
      <c r="G14" s="20">
        <f t="shared" si="1"/>
        <v>0.21428571428571427</v>
      </c>
      <c r="I14" s="39">
        <f t="shared" si="2"/>
        <v>446.25</v>
      </c>
    </row>
    <row r="15" spans="1:9" x14ac:dyDescent="0.2">
      <c r="A15" s="8" t="s">
        <v>28</v>
      </c>
      <c r="B15" s="9">
        <v>150</v>
      </c>
      <c r="C15" s="27">
        <v>170</v>
      </c>
      <c r="D15" s="7">
        <v>25500</v>
      </c>
      <c r="E15" s="18">
        <v>145</v>
      </c>
      <c r="F15" s="19">
        <f t="shared" si="0"/>
        <v>25</v>
      </c>
      <c r="G15" s="20">
        <f t="shared" si="1"/>
        <v>0.17241379310344829</v>
      </c>
      <c r="I15" s="39">
        <f t="shared" si="2"/>
        <v>178.5</v>
      </c>
    </row>
    <row r="16" spans="1:9" x14ac:dyDescent="0.2">
      <c r="A16" s="8" t="s">
        <v>29</v>
      </c>
      <c r="B16" s="9">
        <v>75</v>
      </c>
      <c r="C16" s="27">
        <v>325</v>
      </c>
      <c r="D16" s="7">
        <v>24375</v>
      </c>
      <c r="E16" s="18">
        <v>240</v>
      </c>
      <c r="F16" s="19">
        <f t="shared" si="0"/>
        <v>85</v>
      </c>
      <c r="G16" s="20">
        <f t="shared" si="1"/>
        <v>0.35416666666666669</v>
      </c>
      <c r="I16" s="39">
        <f t="shared" si="2"/>
        <v>341.25</v>
      </c>
    </row>
    <row r="17" spans="1:9" x14ac:dyDescent="0.2">
      <c r="A17" s="8" t="s">
        <v>30</v>
      </c>
      <c r="B17" s="9">
        <v>20</v>
      </c>
      <c r="C17" s="27">
        <v>275</v>
      </c>
      <c r="D17" s="7">
        <v>5500</v>
      </c>
      <c r="E17" s="18">
        <v>240</v>
      </c>
      <c r="F17" s="19">
        <f t="shared" si="0"/>
        <v>35</v>
      </c>
      <c r="G17" s="20">
        <f t="shared" si="1"/>
        <v>0.14583333333333334</v>
      </c>
      <c r="I17" s="39">
        <f t="shared" si="2"/>
        <v>288.75</v>
      </c>
    </row>
    <row r="18" spans="1:9" x14ac:dyDescent="0.2">
      <c r="A18" s="8" t="s">
        <v>31</v>
      </c>
      <c r="B18" s="9">
        <v>20</v>
      </c>
      <c r="C18" s="27">
        <v>275</v>
      </c>
      <c r="D18" s="7">
        <v>5500</v>
      </c>
      <c r="E18" s="18">
        <v>240</v>
      </c>
      <c r="F18" s="19">
        <f t="shared" si="0"/>
        <v>35</v>
      </c>
      <c r="G18" s="20">
        <f t="shared" si="1"/>
        <v>0.14583333333333334</v>
      </c>
      <c r="I18" s="39">
        <f t="shared" si="2"/>
        <v>288.75</v>
      </c>
    </row>
    <row r="19" spans="1:9" x14ac:dyDescent="0.2">
      <c r="A19" s="8" t="s">
        <v>32</v>
      </c>
      <c r="B19" s="9">
        <v>21</v>
      </c>
      <c r="C19" s="27">
        <v>120</v>
      </c>
      <c r="D19" s="7">
        <v>2520</v>
      </c>
      <c r="E19" s="18">
        <v>100</v>
      </c>
      <c r="F19" s="19">
        <f t="shared" si="0"/>
        <v>20</v>
      </c>
      <c r="G19" s="20">
        <f t="shared" si="1"/>
        <v>0.2</v>
      </c>
      <c r="I19" s="39">
        <f t="shared" si="2"/>
        <v>126</v>
      </c>
    </row>
    <row r="20" spans="1:9" x14ac:dyDescent="0.2">
      <c r="A20" s="8" t="s">
        <v>33</v>
      </c>
      <c r="B20" s="9">
        <v>68000</v>
      </c>
      <c r="C20" s="27">
        <v>1.85</v>
      </c>
      <c r="D20" s="7">
        <v>125800</v>
      </c>
      <c r="E20" s="18">
        <v>1.65</v>
      </c>
      <c r="F20" s="19">
        <f t="shared" si="0"/>
        <v>0.20000000000000018</v>
      </c>
      <c r="G20" s="20">
        <f t="shared" si="1"/>
        <v>0.12121212121212133</v>
      </c>
      <c r="I20" s="39">
        <f t="shared" si="2"/>
        <v>1.9425000000000001</v>
      </c>
    </row>
    <row r="21" spans="1:9" x14ac:dyDescent="0.2">
      <c r="A21" s="8" t="s">
        <v>34</v>
      </c>
      <c r="B21" s="9">
        <v>2250</v>
      </c>
      <c r="C21" s="27">
        <v>3</v>
      </c>
      <c r="D21" s="7">
        <v>6750</v>
      </c>
      <c r="E21" s="18">
        <v>2.5</v>
      </c>
      <c r="F21" s="19">
        <f t="shared" si="0"/>
        <v>0.5</v>
      </c>
      <c r="G21" s="20">
        <f t="shared" si="1"/>
        <v>0.2</v>
      </c>
      <c r="I21" s="39">
        <f t="shared" si="2"/>
        <v>3.15</v>
      </c>
    </row>
    <row r="22" spans="1:9" x14ac:dyDescent="0.2">
      <c r="A22" s="8" t="s">
        <v>35</v>
      </c>
      <c r="B22" s="9">
        <v>2250</v>
      </c>
      <c r="C22" s="27">
        <v>7</v>
      </c>
      <c r="D22" s="7">
        <v>15750</v>
      </c>
      <c r="E22" s="18">
        <v>5.5</v>
      </c>
      <c r="F22" s="19">
        <f t="shared" si="0"/>
        <v>1.5</v>
      </c>
      <c r="G22" s="20">
        <f t="shared" si="1"/>
        <v>0.27272727272727271</v>
      </c>
      <c r="I22" s="39">
        <f t="shared" si="2"/>
        <v>7.35</v>
      </c>
    </row>
    <row r="23" spans="1:9" x14ac:dyDescent="0.2">
      <c r="A23" s="8" t="s">
        <v>36</v>
      </c>
      <c r="B23" s="9">
        <v>10</v>
      </c>
      <c r="C23" s="27">
        <v>350</v>
      </c>
      <c r="D23" s="7">
        <v>3500</v>
      </c>
      <c r="E23" s="18">
        <v>250</v>
      </c>
      <c r="F23" s="19">
        <f t="shared" si="0"/>
        <v>100</v>
      </c>
      <c r="G23" s="20">
        <f t="shared" si="1"/>
        <v>0.4</v>
      </c>
      <c r="I23" s="39">
        <f t="shared" si="2"/>
        <v>367.5</v>
      </c>
    </row>
    <row r="24" spans="1:9" ht="15" thickBot="1" x14ac:dyDescent="0.25">
      <c r="A24" s="10" t="s">
        <v>37</v>
      </c>
      <c r="B24" s="11">
        <v>10</v>
      </c>
      <c r="C24" s="27">
        <v>225</v>
      </c>
      <c r="D24" s="7">
        <v>2250</v>
      </c>
      <c r="E24" s="18">
        <v>225</v>
      </c>
      <c r="F24" s="19">
        <f t="shared" si="0"/>
        <v>0</v>
      </c>
      <c r="G24" s="20">
        <f t="shared" si="1"/>
        <v>0</v>
      </c>
      <c r="I24" s="39">
        <f t="shared" si="2"/>
        <v>236.25</v>
      </c>
    </row>
    <row r="25" spans="1:9" ht="15.75" thickTop="1" x14ac:dyDescent="0.2">
      <c r="A25" s="34" t="s">
        <v>39</v>
      </c>
      <c r="B25" s="35"/>
      <c r="C25" s="36">
        <v>385995</v>
      </c>
      <c r="D25" s="36"/>
    </row>
    <row r="26" spans="1:9" x14ac:dyDescent="0.2">
      <c r="A26" s="12" t="s">
        <v>38</v>
      </c>
      <c r="B26" s="24" t="s">
        <v>50</v>
      </c>
      <c r="C26" t="s">
        <v>51</v>
      </c>
      <c r="D26" s="25">
        <v>356003.5</v>
      </c>
    </row>
  </sheetData>
  <mergeCells count="7">
    <mergeCell ref="A3:D3"/>
    <mergeCell ref="A6:B6"/>
    <mergeCell ref="E7:G7"/>
    <mergeCell ref="A25:B25"/>
    <mergeCell ref="C25:D25"/>
    <mergeCell ref="C6:D6"/>
    <mergeCell ref="A8:D8"/>
  </mergeCells>
  <pageMargins left="0.25" right="0.25" top="0.5" bottom="0.5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Shannon</dc:creator>
  <cp:lastModifiedBy>Lamug, Cromwell</cp:lastModifiedBy>
  <cp:lastPrinted>2024-02-20T16:15:56Z</cp:lastPrinted>
  <dcterms:created xsi:type="dcterms:W3CDTF">2024-02-20T16:15:32Z</dcterms:created>
  <dcterms:modified xsi:type="dcterms:W3CDTF">2024-12-18T20:20:14Z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2024-02-20T11:02:36Z</dcterms:created>
  <cp:revision>0</cp:revision>
</cp:coreProperties>
</file>