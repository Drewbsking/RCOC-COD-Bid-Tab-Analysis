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eneau\OneDrive - Road Commission Oakland county\Documents\Purchasing\2021\Pavement Markings\"/>
    </mc:Choice>
  </mc:AlternateContent>
  <xr:revisionPtr revIDLastSave="0" documentId="10_ncr:100000_{DC4CA880-11FE-414C-B7C6-A78D14506EFF}" xr6:coauthVersionLast="31" xr6:coauthVersionMax="31" xr10:uidLastSave="{00000000-0000-0000-0000-000000000000}"/>
  <bookViews>
    <workbookView xWindow="1128" yWindow="1128" windowWidth="26352" windowHeight="10092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definedNames>
    <definedName name="_xlnm.Print_Area" localSheetId="2">'Item Lists'!$A$1:$I$20</definedName>
  </definedNames>
  <calcPr calcId="179017"/>
</workbook>
</file>

<file path=xl/calcChain.xml><?xml version="1.0" encoding="utf-8"?>
<calcChain xmlns="http://schemas.openxmlformats.org/spreadsheetml/2006/main">
  <c r="H19" i="3" l="1"/>
  <c r="I19" i="3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</calcChain>
</file>

<file path=xl/sharedStrings.xml><?xml version="1.0" encoding="utf-8"?>
<sst xmlns="http://schemas.openxmlformats.org/spreadsheetml/2006/main" count="64" uniqueCount="47">
  <si>
    <t>Solicitation Information</t>
  </si>
  <si>
    <t>Agency:</t>
  </si>
  <si>
    <t>Road Commission for Oakland County</t>
  </si>
  <si>
    <t>Number:</t>
  </si>
  <si>
    <t>95121-2021</t>
  </si>
  <si>
    <t>Description:</t>
  </si>
  <si>
    <t>A CONTRACT FOR INSTALLATION OF COLD PLASTIC PAVEMENT MARKINGS ON VARIOUS ROADS LOCATED IN OAKLAND COUNTY, MICHIGAN.</t>
  </si>
  <si>
    <t>Deadline:</t>
  </si>
  <si>
    <t>2021-02-09 16:00:00 UTC</t>
  </si>
  <si>
    <t>Bidders</t>
  </si>
  <si>
    <t>Business Name</t>
  </si>
  <si>
    <t>Address</t>
  </si>
  <si>
    <t>Phone</t>
  </si>
  <si>
    <t>P.K. Contracting, Inc.</t>
  </si>
  <si>
    <t>1965 Barrett, Troy, MI 48084</t>
  </si>
  <si>
    <t>(248) 362-2130</t>
  </si>
  <si>
    <t>JV Contracting, Inc.</t>
  </si>
  <si>
    <t>7285 N. State Road, Goodrich, MI 48438</t>
  </si>
  <si>
    <t>(248) 308-6165</t>
  </si>
  <si>
    <t>Item</t>
  </si>
  <si>
    <t>Quantity</t>
  </si>
  <si>
    <t>Price</t>
  </si>
  <si>
    <t>Extension</t>
  </si>
  <si>
    <t>Schedule of Items (Itemized Bid Sheet)</t>
  </si>
  <si>
    <t>8110011 - Call Back ,Mobilization - EA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</si>
  <si>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</si>
  <si>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</si>
  <si>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</si>
  <si>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</si>
  <si>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</si>
  <si>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</si>
  <si>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</si>
  <si>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</si>
  <si>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</si>
  <si>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</si>
  <si>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</si>
  <si>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</si>
  <si>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Sft</t>
  </si>
  <si>
    <t>8110562 - Pavt Mrkg, Ovly Cold Plastic, 6 inch, Dotted Turning Guide Line, White - Ft</t>
  </si>
  <si>
    <t>8117050 - Pavt Mrkg, Ovly Cold plastic, Circle (roundabout) Sym - Ea</t>
  </si>
  <si>
    <t>16 Items</t>
  </si>
  <si>
    <t>Totals</t>
  </si>
  <si>
    <t/>
  </si>
  <si>
    <t>Bid Unit Price Comparison</t>
  </si>
  <si>
    <t>2020 Unit Price</t>
  </si>
  <si>
    <t>Unit Price Difference</t>
  </si>
  <si>
    <t>Percent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</si>
</sst>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\$#,##0.000;\(\$#,##0.000\)"/>
  </numFmts>
  <fonts count="10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2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5" fontId="0" fillId="7" borderId="0" xfId="0" applyNumberFormat="1" applyFill="1" applyAlignment="1">
      <alignment vertical="top" wrapText="1" readingOrder="2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 wrapText="1"/>
    </xf>
    <xf numFmtId="40" fontId="8" fillId="0" borderId="4" xfId="0" applyNumberFormat="1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40" fontId="9" fillId="8" borderId="5" xfId="0" applyNumberFormat="1" applyFont="1" applyFill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/>
    </xf>
    <xf numFmtId="10" fontId="0" fillId="0" borderId="6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0" fillId="0" borderId="6" xfId="0" applyBorder="1" applyAlignment="1">
      <alignment vertical="top" wrapText="1" readingOrder="1"/>
    </xf>
    <xf numFmtId="164" fontId="0" fillId="0" borderId="6" xfId="0" applyNumberFormat="1" applyBorder="1" applyAlignment="1">
      <alignment vertical="top" wrapText="1" readingOrder="2"/>
    </xf>
    <xf numFmtId="165" fontId="0" fillId="10" borderId="6" xfId="0" applyNumberFormat="1" applyFill="1" applyBorder="1" applyAlignment="1">
      <alignment vertical="top" wrapText="1" readingOrder="2"/>
    </xf>
    <xf numFmtId="165" fontId="0" fillId="0" borderId="6" xfId="0" applyNumberFormat="1" applyBorder="1" applyAlignment="1">
      <alignment vertical="top" wrapText="1" readingOrder="2"/>
    </xf>
    <xf numFmtId="165" fontId="0" fillId="9" borderId="6" xfId="0" applyNumberFormat="1" applyFill="1" applyBorder="1" applyAlignment="1">
      <alignment vertical="top" wrapText="1" readingOrder="2"/>
    </xf>
    <xf numFmtId="0" fontId="1" fillId="2" borderId="0" xfId="0" applyFont="1" applyFill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164" fontId="0" fillId="0" borderId="6" xfId="0" applyNumberFormat="1" applyBorder="1" applyAlignment="1">
      <alignment wrapText="1" readingOrder="2"/>
    </xf>
    <xf numFmtId="165" fontId="0" fillId="10" borderId="6" xfId="0" applyNumberFormat="1" applyFill="1" applyBorder="1" applyAlignment="1">
      <alignment wrapText="1" readingOrder="2"/>
    </xf>
    <xf numFmtId="165" fontId="0" fillId="0" borderId="6" xfId="0" applyNumberFormat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>
      <selection sqref="A1:B1"/>
    </sheetView>
  </sheetViews>
  <sheetFormatPr defaultRowHeight="13.8" x14ac:dyDescent="0.25"/>
  <cols>
    <col min="1" max="1" width="23" bestFit="1" customWidth="1"/>
    <col min="2" max="2" width="110.8984375" bestFit="1" customWidth="1"/>
  </cols>
  <sheetData>
    <row r="1" spans="1:2" x14ac:dyDescent="0.25">
      <c r="A1" s="22" t="s">
        <v>0</v>
      </c>
      <c r="B1" s="22" t="s">
        <v>42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OutlineSymbols="0" showWhiteSpace="0" workbookViewId="0"/>
  </sheetViews>
  <sheetFormatPr defaultRowHeight="13.8" x14ac:dyDescent="0.25"/>
  <cols>
    <col min="1" max="1" width="17.8984375" bestFit="1" customWidth="1"/>
    <col min="2" max="2" width="35" bestFit="1" customWidth="1"/>
    <col min="3" max="3" width="15.19921875" bestFit="1" customWidth="1"/>
  </cols>
  <sheetData>
    <row r="1" spans="1:3" x14ac:dyDescent="0.25">
      <c r="A1" s="22" t="s">
        <v>9</v>
      </c>
      <c r="B1" s="22" t="s">
        <v>42</v>
      </c>
      <c r="C1" s="22" t="s">
        <v>42</v>
      </c>
    </row>
    <row r="2" spans="1:3" x14ac:dyDescent="0.25">
      <c r="A2" s="3" t="s">
        <v>10</v>
      </c>
      <c r="B2" s="3" t="s">
        <v>11</v>
      </c>
      <c r="C2" s="3" t="s">
        <v>12</v>
      </c>
    </row>
    <row r="3" spans="1:3" ht="27.6" x14ac:dyDescent="0.25">
      <c r="A3" s="1" t="s">
        <v>13</v>
      </c>
      <c r="B3" s="1" t="s">
        <v>14</v>
      </c>
      <c r="C3" s="1" t="s">
        <v>15</v>
      </c>
    </row>
    <row r="4" spans="1:3" x14ac:dyDescent="0.25">
      <c r="A4" s="1" t="s">
        <v>16</v>
      </c>
      <c r="B4" s="1" t="s">
        <v>17</v>
      </c>
      <c r="C4" s="1" t="s">
        <v>18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showOutlineSymbols="0" showWhiteSpace="0" workbookViewId="0">
      <selection activeCell="G18" sqref="G18"/>
    </sheetView>
  </sheetViews>
  <sheetFormatPr defaultRowHeight="13.8" x14ac:dyDescent="0.25"/>
  <cols>
    <col min="1" max="1" width="66.8984375" bestFit="1" customWidth="1"/>
    <col min="2" max="2" width="11.19921875" bestFit="1" customWidth="1"/>
    <col min="3" max="3" width="13" customWidth="1"/>
    <col min="4" max="4" width="12.8984375" bestFit="1" customWidth="1"/>
    <col min="5" max="5" width="13" customWidth="1"/>
    <col min="6" max="6" width="12.8984375" bestFit="1" customWidth="1"/>
    <col min="7" max="7" width="12.296875" customWidth="1"/>
    <col min="8" max="8" width="12.3984375" customWidth="1"/>
    <col min="9" max="9" width="12" customWidth="1"/>
  </cols>
  <sheetData>
    <row r="1" spans="1:9" x14ac:dyDescent="0.25">
      <c r="A1" s="4" t="s">
        <v>42</v>
      </c>
      <c r="B1" s="4" t="s">
        <v>42</v>
      </c>
      <c r="C1" s="23" t="s">
        <v>16</v>
      </c>
      <c r="D1" s="23" t="s">
        <v>42</v>
      </c>
      <c r="E1" s="23" t="s">
        <v>13</v>
      </c>
      <c r="F1" s="23" t="s">
        <v>42</v>
      </c>
    </row>
    <row r="2" spans="1:9" ht="15" x14ac:dyDescent="0.25">
      <c r="A2" s="6" t="s">
        <v>19</v>
      </c>
      <c r="B2" s="6" t="s">
        <v>20</v>
      </c>
      <c r="C2" s="6" t="s">
        <v>21</v>
      </c>
      <c r="D2" s="6" t="s">
        <v>22</v>
      </c>
      <c r="E2" s="6" t="s">
        <v>21</v>
      </c>
      <c r="F2" s="6" t="s">
        <v>22</v>
      </c>
      <c r="G2" s="8" t="s">
        <v>43</v>
      </c>
      <c r="H2" s="9"/>
      <c r="I2" s="10"/>
    </row>
    <row r="3" spans="1:9" ht="30" customHeight="1" x14ac:dyDescent="0.25">
      <c r="A3" s="24" t="s">
        <v>23</v>
      </c>
      <c r="B3" s="24" t="s">
        <v>42</v>
      </c>
      <c r="C3" s="24" t="s">
        <v>42</v>
      </c>
      <c r="D3" s="24" t="s">
        <v>42</v>
      </c>
      <c r="E3" s="24" t="s">
        <v>42</v>
      </c>
      <c r="F3" s="24" t="s">
        <v>42</v>
      </c>
      <c r="G3" s="11" t="s">
        <v>44</v>
      </c>
      <c r="H3" s="11" t="s">
        <v>45</v>
      </c>
      <c r="I3" s="12" t="s">
        <v>46</v>
      </c>
    </row>
    <row r="4" spans="1:9" x14ac:dyDescent="0.25">
      <c r="A4" s="17" t="s">
        <v>24</v>
      </c>
      <c r="B4" s="18">
        <v>20</v>
      </c>
      <c r="C4" s="19">
        <v>300</v>
      </c>
      <c r="D4" s="20">
        <v>6000</v>
      </c>
      <c r="E4" s="21">
        <v>250</v>
      </c>
      <c r="F4" s="20">
        <v>5000</v>
      </c>
      <c r="G4" s="15">
        <v>300</v>
      </c>
      <c r="H4" s="15">
        <f>C4-G4</f>
        <v>0</v>
      </c>
      <c r="I4" s="13">
        <f>H4/E4</f>
        <v>0</v>
      </c>
    </row>
    <row r="5" spans="1:9" x14ac:dyDescent="0.25">
      <c r="A5" s="17" t="s">
        <v>25</v>
      </c>
      <c r="B5" s="18">
        <v>30000</v>
      </c>
      <c r="C5" s="19">
        <v>2</v>
      </c>
      <c r="D5" s="20">
        <v>60000</v>
      </c>
      <c r="E5" s="20">
        <v>2.5</v>
      </c>
      <c r="F5" s="20">
        <v>75000</v>
      </c>
      <c r="G5" s="15">
        <v>2</v>
      </c>
      <c r="H5" s="15">
        <f t="shared" ref="H5:H19" si="0">C5-G5</f>
        <v>0</v>
      </c>
      <c r="I5" s="13">
        <f t="shared" ref="I5:I19" si="1">H5/E5</f>
        <v>0</v>
      </c>
    </row>
    <row r="6" spans="1:9" x14ac:dyDescent="0.25">
      <c r="A6" s="17" t="s">
        <v>26</v>
      </c>
      <c r="B6" s="18">
        <v>12000</v>
      </c>
      <c r="C6" s="19">
        <v>5.25</v>
      </c>
      <c r="D6" s="20">
        <v>63000</v>
      </c>
      <c r="E6" s="20">
        <v>6.95</v>
      </c>
      <c r="F6" s="20">
        <v>83400</v>
      </c>
      <c r="G6" s="15">
        <v>5.2</v>
      </c>
      <c r="H6" s="15">
        <f t="shared" si="0"/>
        <v>4.9999999999999822E-2</v>
      </c>
      <c r="I6" s="13">
        <f t="shared" si="1"/>
        <v>7.1942446043165211E-3</v>
      </c>
    </row>
    <row r="7" spans="1:9" x14ac:dyDescent="0.25">
      <c r="A7" s="17" t="s">
        <v>27</v>
      </c>
      <c r="B7" s="18">
        <v>4800</v>
      </c>
      <c r="C7" s="19">
        <v>8</v>
      </c>
      <c r="D7" s="20">
        <v>38400</v>
      </c>
      <c r="E7" s="20">
        <v>9.75</v>
      </c>
      <c r="F7" s="20">
        <v>46800</v>
      </c>
      <c r="G7" s="15">
        <v>8</v>
      </c>
      <c r="H7" s="15">
        <f t="shared" si="0"/>
        <v>0</v>
      </c>
      <c r="I7" s="13">
        <f t="shared" si="1"/>
        <v>0</v>
      </c>
    </row>
    <row r="8" spans="1:9" x14ac:dyDescent="0.25">
      <c r="A8" s="17" t="s">
        <v>28</v>
      </c>
      <c r="B8" s="18">
        <v>400</v>
      </c>
      <c r="C8" s="19">
        <v>110</v>
      </c>
      <c r="D8" s="20">
        <v>44000</v>
      </c>
      <c r="E8" s="20">
        <v>150</v>
      </c>
      <c r="F8" s="20">
        <v>60000</v>
      </c>
      <c r="G8" s="15">
        <v>100</v>
      </c>
      <c r="H8" s="15">
        <f t="shared" si="0"/>
        <v>10</v>
      </c>
      <c r="I8" s="13">
        <f t="shared" si="1"/>
        <v>6.6666666666666666E-2</v>
      </c>
    </row>
    <row r="9" spans="1:9" x14ac:dyDescent="0.25">
      <c r="A9" s="17" t="s">
        <v>29</v>
      </c>
      <c r="B9" s="18">
        <v>10</v>
      </c>
      <c r="C9" s="19">
        <v>110</v>
      </c>
      <c r="D9" s="20">
        <v>1100</v>
      </c>
      <c r="E9" s="20">
        <v>150</v>
      </c>
      <c r="F9" s="20">
        <v>1500</v>
      </c>
      <c r="G9" s="15">
        <v>100</v>
      </c>
      <c r="H9" s="15">
        <f t="shared" si="0"/>
        <v>10</v>
      </c>
      <c r="I9" s="13">
        <f t="shared" si="1"/>
        <v>6.6666666666666666E-2</v>
      </c>
    </row>
    <row r="10" spans="1:9" x14ac:dyDescent="0.25">
      <c r="A10" s="17" t="s">
        <v>30</v>
      </c>
      <c r="B10" s="18">
        <v>20</v>
      </c>
      <c r="C10" s="19">
        <v>300</v>
      </c>
      <c r="D10" s="20">
        <v>6000</v>
      </c>
      <c r="E10" s="20">
        <v>350</v>
      </c>
      <c r="F10" s="20">
        <v>7000</v>
      </c>
      <c r="G10" s="15">
        <v>275</v>
      </c>
      <c r="H10" s="15">
        <f t="shared" si="0"/>
        <v>25</v>
      </c>
      <c r="I10" s="13">
        <f t="shared" si="1"/>
        <v>7.1428571428571425E-2</v>
      </c>
    </row>
    <row r="11" spans="1:9" x14ac:dyDescent="0.25">
      <c r="A11" s="17" t="s">
        <v>31</v>
      </c>
      <c r="B11" s="18">
        <v>500</v>
      </c>
      <c r="C11" s="19">
        <v>110</v>
      </c>
      <c r="D11" s="20">
        <v>55000</v>
      </c>
      <c r="E11" s="20">
        <v>150</v>
      </c>
      <c r="F11" s="20">
        <v>75000</v>
      </c>
      <c r="G11" s="16">
        <v>100</v>
      </c>
      <c r="H11" s="15">
        <f t="shared" si="0"/>
        <v>10</v>
      </c>
      <c r="I11" s="14">
        <f t="shared" si="1"/>
        <v>6.6666666666666666E-2</v>
      </c>
    </row>
    <row r="12" spans="1:9" x14ac:dyDescent="0.25">
      <c r="A12" s="17" t="s">
        <v>32</v>
      </c>
      <c r="B12" s="18">
        <v>100</v>
      </c>
      <c r="C12" s="19">
        <v>200</v>
      </c>
      <c r="D12" s="20">
        <v>20000</v>
      </c>
      <c r="E12" s="20">
        <v>250</v>
      </c>
      <c r="F12" s="20">
        <v>25000</v>
      </c>
      <c r="G12" s="16">
        <v>175</v>
      </c>
      <c r="H12" s="15">
        <f t="shared" si="0"/>
        <v>25</v>
      </c>
      <c r="I12" s="14">
        <f t="shared" si="1"/>
        <v>0.1</v>
      </c>
    </row>
    <row r="13" spans="1:9" x14ac:dyDescent="0.25">
      <c r="A13" s="17" t="s">
        <v>33</v>
      </c>
      <c r="B13" s="18">
        <v>25</v>
      </c>
      <c r="C13" s="19">
        <v>200</v>
      </c>
      <c r="D13" s="20">
        <v>5000</v>
      </c>
      <c r="E13" s="20">
        <v>250</v>
      </c>
      <c r="F13" s="20">
        <v>6250</v>
      </c>
      <c r="G13" s="16">
        <v>175</v>
      </c>
      <c r="H13" s="15">
        <f t="shared" si="0"/>
        <v>25</v>
      </c>
      <c r="I13" s="14">
        <f t="shared" si="1"/>
        <v>0.1</v>
      </c>
    </row>
    <row r="14" spans="1:9" x14ac:dyDescent="0.25">
      <c r="A14" s="17" t="s">
        <v>34</v>
      </c>
      <c r="B14" s="18">
        <v>25</v>
      </c>
      <c r="C14" s="19">
        <v>200</v>
      </c>
      <c r="D14" s="20">
        <v>5000</v>
      </c>
      <c r="E14" s="20">
        <v>250</v>
      </c>
      <c r="F14" s="20">
        <v>6250</v>
      </c>
      <c r="G14" s="16">
        <v>175</v>
      </c>
      <c r="H14" s="16">
        <f t="shared" si="0"/>
        <v>25</v>
      </c>
      <c r="I14" s="14">
        <f t="shared" si="1"/>
        <v>0.1</v>
      </c>
    </row>
    <row r="15" spans="1:9" x14ac:dyDescent="0.25">
      <c r="A15" s="17" t="s">
        <v>35</v>
      </c>
      <c r="B15" s="18">
        <v>15</v>
      </c>
      <c r="C15" s="19">
        <v>70</v>
      </c>
      <c r="D15" s="20">
        <v>1050</v>
      </c>
      <c r="E15" s="20">
        <v>100</v>
      </c>
      <c r="F15" s="20">
        <v>1500</v>
      </c>
      <c r="G15" s="16">
        <v>70</v>
      </c>
      <c r="H15" s="16">
        <f t="shared" si="0"/>
        <v>0</v>
      </c>
      <c r="I15" s="14">
        <f t="shared" si="1"/>
        <v>0</v>
      </c>
    </row>
    <row r="16" spans="1:9" x14ac:dyDescent="0.25">
      <c r="A16" s="17" t="s">
        <v>36</v>
      </c>
      <c r="B16" s="18">
        <v>105000</v>
      </c>
      <c r="C16" s="19">
        <v>1.1000000000000001</v>
      </c>
      <c r="D16" s="20">
        <v>115500</v>
      </c>
      <c r="E16" s="20">
        <v>1.4</v>
      </c>
      <c r="F16" s="20">
        <v>147000</v>
      </c>
      <c r="G16" s="16">
        <v>1</v>
      </c>
      <c r="H16" s="16">
        <f t="shared" si="0"/>
        <v>0.10000000000000009</v>
      </c>
      <c r="I16" s="14">
        <f t="shared" si="1"/>
        <v>7.1428571428571494E-2</v>
      </c>
    </row>
    <row r="17" spans="1:9" x14ac:dyDescent="0.25">
      <c r="A17" s="17" t="s">
        <v>37</v>
      </c>
      <c r="B17" s="18">
        <v>286</v>
      </c>
      <c r="C17" s="19">
        <v>6</v>
      </c>
      <c r="D17" s="20">
        <v>1716</v>
      </c>
      <c r="E17" s="21">
        <v>3.5</v>
      </c>
      <c r="F17" s="20">
        <v>1001</v>
      </c>
      <c r="G17" s="16">
        <v>6</v>
      </c>
      <c r="H17" s="16">
        <f t="shared" si="0"/>
        <v>0</v>
      </c>
      <c r="I17" s="14">
        <f t="shared" si="1"/>
        <v>0</v>
      </c>
    </row>
    <row r="18" spans="1:9" ht="27.6" x14ac:dyDescent="0.25">
      <c r="A18" s="17" t="s">
        <v>38</v>
      </c>
      <c r="B18" s="25">
        <v>600</v>
      </c>
      <c r="C18" s="26">
        <v>6</v>
      </c>
      <c r="D18" s="27">
        <v>3600</v>
      </c>
      <c r="E18" s="27">
        <v>6</v>
      </c>
      <c r="F18" s="27">
        <v>3600</v>
      </c>
      <c r="G18" s="16">
        <v>6</v>
      </c>
      <c r="H18" s="16">
        <f t="shared" si="0"/>
        <v>0</v>
      </c>
      <c r="I18" s="14">
        <f t="shared" si="1"/>
        <v>0</v>
      </c>
    </row>
    <row r="19" spans="1:9" x14ac:dyDescent="0.25">
      <c r="A19" s="17" t="s">
        <v>39</v>
      </c>
      <c r="B19" s="18">
        <v>20</v>
      </c>
      <c r="C19" s="19">
        <v>250</v>
      </c>
      <c r="D19" s="20">
        <v>5000</v>
      </c>
      <c r="E19" s="21">
        <v>200</v>
      </c>
      <c r="F19" s="20">
        <v>4000</v>
      </c>
      <c r="G19" s="16">
        <v>250</v>
      </c>
      <c r="H19" s="16">
        <f t="shared" si="0"/>
        <v>0</v>
      </c>
      <c r="I19" s="14">
        <f t="shared" si="1"/>
        <v>0</v>
      </c>
    </row>
    <row r="20" spans="1:9" x14ac:dyDescent="0.25">
      <c r="A20" s="6" t="s">
        <v>40</v>
      </c>
      <c r="B20" s="6" t="s">
        <v>41</v>
      </c>
      <c r="C20" s="5" t="s">
        <v>42</v>
      </c>
      <c r="D20" s="7">
        <v>430366</v>
      </c>
      <c r="E20" s="5" t="s">
        <v>42</v>
      </c>
      <c r="F20" s="7">
        <v>548301</v>
      </c>
    </row>
  </sheetData>
  <mergeCells count="3">
    <mergeCell ref="C1:D1"/>
    <mergeCell ref="E1:F1"/>
    <mergeCell ref="A3:F3"/>
  </mergeCells>
  <pageMargins left="0.75" right="0.75" top="1" bottom="1" header="0.5" footer="0.5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00D0327927CC48AEA433B6F36EDF3A" ma:contentTypeVersion="10" ma:contentTypeDescription="Create a new document." ma:contentTypeScope="" ma:versionID="1cbe6d4e9b58574fd6f12d943f8283f5">
  <xsd:schema xmlns:xsd="http://www.w3.org/2001/XMLSchema" xmlns:xs="http://www.w3.org/2001/XMLSchema" xmlns:p="http://schemas.microsoft.com/office/2006/metadata/properties" xmlns:ns3="c3d35172-c562-41cf-8ffc-77e3e191bef3" targetNamespace="http://schemas.microsoft.com/office/2006/metadata/properties" ma:root="true" ma:fieldsID="943e56dbdd70ca502781aa2dca350e16" ns3:_="">
    <xsd:import namespace="c3d35172-c562-41cf-8ffc-77e3e191be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35172-c562-41cf-8ffc-77e3e191b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FA967D-DE56-43DF-A32E-0359E36E9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35172-c562-41cf-8ffc-77e3e191b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95CE6B-2346-4B93-B7F1-FF2D217F16D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3d35172-c562-41cf-8ffc-77e3e191bef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D2DFB0-CD1A-415B-AEBA-C34AA9F43B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Solicitation Information</vt:lpstr>
      <vt:lpstr>Bidders</vt:lpstr>
      <vt:lpstr>Item Lists</vt:lpstr>
      <vt:lpstr>'Item Lists'!Print_Area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Deneau, Danielle</cp:lastModifiedBy>
  <cp:lastPrinted>2021-02-12T18:49:51Z</cp:lastPrinted>
  <dcterms:created xsi:type="dcterms:W3CDTF">2021-02-09T16:50:38Z</dcterms:created>
  <dcterms:modified xsi:type="dcterms:W3CDTF">2021-02-12T18:55:32Z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2021-02-09T11:49:55Z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0x0101007700D0327927CC48AEA433B6F36EDF3A</vt:lpwstr>
  </property>
</Properties>
</file>