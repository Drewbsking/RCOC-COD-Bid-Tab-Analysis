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coc-my.sharepoint.com/personal/clamug_rcoc_org/Documents/Desktop/"/>
    </mc:Choice>
  </mc:AlternateContent>
  <xr:revisionPtr revIDLastSave="4" documentId="14_{E22BCD40-D6B6-4C18-902E-40859D6489F7}" xr6:coauthVersionLast="47" xr6:coauthVersionMax="47" xr10:uidLastSave="{C07F6F3C-72AD-444E-ABF5-FEAC7386C52A}"/>
  <bookViews>
    <workbookView xWindow="-120" yWindow="-120" windowWidth="29040" windowHeight="15720" activeTab="2" xr2:uid="{00000000-000D-0000-FFFF-FFFF00000000}"/>
  </bookViews>
  <sheets>
    <sheet name="Solicitation Information" sheetId="1" r:id="rId1"/>
    <sheet name="Bidders" sheetId="2" r:id="rId2"/>
    <sheet name="Item Lis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3" l="1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F25" i="3"/>
  <c r="F24" i="3"/>
  <c r="F23" i="3"/>
  <c r="F22" i="3"/>
  <c r="F21" i="3"/>
  <c r="F20" i="3"/>
  <c r="F19" i="3"/>
  <c r="F18" i="3"/>
  <c r="F17" i="3"/>
  <c r="F16" i="3"/>
  <c r="F15" i="3"/>
  <c r="F14" i="3"/>
  <c r="F13" i="3"/>
  <c r="F12" i="3"/>
  <c r="F11" i="3"/>
  <c r="F10" i="3"/>
</calcChain>
</file>

<file path=xl/sharedStrings.xml><?xml version="1.0" encoding="utf-8"?>
<sst xmlns="http://schemas.openxmlformats.org/spreadsheetml/2006/main" count="62" uniqueCount="51">
  <si>
    <t>Solicitation Information</t>
  </si>
  <si>
    <t>Agency:</t>
  </si>
  <si>
    <t>Road Commission for Oakland County</t>
  </si>
  <si>
    <t>Number:</t>
  </si>
  <si>
    <t>Description:</t>
  </si>
  <si>
    <t>A CONTRACT FOR INSTALLATION OF COLD PLASTIC PAVEMENT MARKINGS ON VARIOUS ROADS LOCATED IN OAKLAND COUNTY, MICHIGAN.</t>
  </si>
  <si>
    <t>Deadline:</t>
  </si>
  <si>
    <t>2025-03-04 16:00:00 UTC</t>
  </si>
  <si>
    <t>Location(s):</t>
  </si>
  <si>
    <t>Oakland, Michigan</t>
  </si>
  <si>
    <t>Bidders</t>
  </si>
  <si>
    <t>Business Name</t>
  </si>
  <si>
    <t>Address</t>
  </si>
  <si>
    <t>Phone</t>
  </si>
  <si>
    <t>P.K. Contracting, Inc.</t>
  </si>
  <si>
    <t>1965 Barrett Dr, Troy, MI 48084-5372</t>
  </si>
  <si>
    <t>(248) 362-2130</t>
  </si>
  <si>
    <t>Item</t>
  </si>
  <si>
    <t>Quantity</t>
  </si>
  <si>
    <t>Price</t>
  </si>
  <si>
    <t>Extension</t>
  </si>
  <si>
    <t>Schedule of Items (Itemized Bid Sheet)</t>
  </si>
  <si>
    <t>8110024 - Pavt Mrkg, Ovly Cold Plastic, 6 inch, Crosswalk - Ft</t>
  </si>
  <si>
    <t>8110044 - Pavt Mrkg, Ovly Cold Plastic, 18 inch, Stop Bar - Ft</t>
  </si>
  <si>
    <t>8110045 - Pavt Mrkg, Ovly Cold Plastic, 24 inch, Stop Bar - Ft</t>
  </si>
  <si>
    <t>8110063 - Pavt Mrkg, Ovly Cold Plastic, Lt Turn Arrow Sym - Ea</t>
  </si>
  <si>
    <t>8110068 - Pavt Mrkg, Ovly Cold Plastic, Only - Ea</t>
  </si>
  <si>
    <t>8110069 - Pavt Mrkg, Ovly Cold Plastic, Railroad Sym - Ea</t>
  </si>
  <si>
    <t>8110071 - Pavt Mrkg, Ovly Cold Plastic, Rt Turn Arrow Sym - Ea</t>
  </si>
  <si>
    <t>8110074 - Pavt Mrkg, Ovly Cold Plastic, School - Ea</t>
  </si>
  <si>
    <t>8110076 - Pavt Mrkg, Ovly Cold Plastic, Thru and Lt Turn Arrow Sym - Ea</t>
  </si>
  <si>
    <t>8110077 - Pavt Mrkg, Ovly Cold Plastic, Thru and Rt Turn Arrow Sym - Ea</t>
  </si>
  <si>
    <t>8110078 - Pavt Mrkg, Ovly Cold Plastic, Thru Arrow Sym - Ea</t>
  </si>
  <si>
    <t>8110343 - Rem Spec Mrkg - Sft</t>
  </si>
  <si>
    <t>8110453 - Recessing Pavt Mrkg, Guide Line - Ft</t>
  </si>
  <si>
    <t>8110562 - Pavt Mrkg, Ovly Cold Plastic, 6 inch, Dotted Turning Guide Line, White - Ft</t>
  </si>
  <si>
    <t>8117050 - _Call Back, Mobilization - Ea</t>
  </si>
  <si>
    <t>8117050 - _Pavt Mrkg, Cold Plastic, Circle (Roundabout) Symbol - Ea</t>
  </si>
  <si>
    <t>16 Items</t>
  </si>
  <si>
    <t>Totals</t>
  </si>
  <si>
    <t/>
  </si>
  <si>
    <t>Notes: (color code)</t>
  </si>
  <si>
    <t>Low bid item meeting specifications</t>
  </si>
  <si>
    <t>Low bid Item not meeting specifications</t>
  </si>
  <si>
    <t>Price Comparison Information</t>
  </si>
  <si>
    <t>Bid Unit Price Comparison</t>
  </si>
  <si>
    <t>2024 Unit Price</t>
  </si>
  <si>
    <t>2024-2025 Unit Price Difference</t>
  </si>
  <si>
    <t>2024-2025 Percent Difference</t>
  </si>
  <si>
    <t>Engineer's Estimate</t>
  </si>
  <si>
    <t>95125 - 2025 County-Wide Pavement Legends Program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</si>
</sst>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;\(#,##0.000\)"/>
    <numFmt numFmtId="165" formatCode="\$#,##0.000;\(\$#,##0.000\)"/>
    <numFmt numFmtId="166" formatCode="_(&quot;$&quot;* #,##0.000_);_(&quot;$&quot;* \(#,##0.000\);_(&quot;$&quot;* &quot;-&quot;???_);_(@_)"/>
    <numFmt numFmtId="167" formatCode="0.000%"/>
    <numFmt numFmtId="168" formatCode="&quot;$&quot;#,##0.000_);[Red]\(&quot;$&quot;#,##0.000\)"/>
  </numFmts>
  <fonts count="12" x14ac:knownFonts="1">
    <font>
      <sz val="11"/>
      <name val="Arial"/>
      <family val="1"/>
    </font>
    <font>
      <b/>
      <sz val="12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b/>
      <sz val="11"/>
      <name val="Arial"/>
      <family val="1"/>
    </font>
    <font>
      <sz val="11"/>
      <color indexed="8"/>
      <name val="Arial"/>
      <family val="2"/>
    </font>
    <font>
      <b/>
      <sz val="11"/>
      <name val="Arial"/>
      <family val="2"/>
    </font>
    <font>
      <sz val="10"/>
      <name val="Arial"/>
      <family val="1"/>
    </font>
    <font>
      <sz val="11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CCFFFF"/>
        <bgColor rgb="FFCCFFFF"/>
      </patternFill>
    </fill>
    <fill>
      <patternFill patternType="solid">
        <fgColor rgb="FF808080"/>
        <bgColor rgb="FF80808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C0C0C0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vertical="top" wrapText="1" readingOrder="1"/>
    </xf>
    <xf numFmtId="0" fontId="3" fillId="0" borderId="0" xfId="0" applyFont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5" fillId="4" borderId="0" xfId="0" applyFont="1" applyFill="1" applyAlignment="1">
      <alignment horizontal="center" vertical="top" wrapText="1" readingOrder="1"/>
    </xf>
    <xf numFmtId="0" fontId="6" fillId="5" borderId="0" xfId="0" applyFont="1" applyFill="1" applyAlignment="1">
      <alignment vertical="top" wrapText="1" readingOrder="1"/>
    </xf>
    <xf numFmtId="0" fontId="7" fillId="6" borderId="0" xfId="0" applyFont="1" applyFill="1" applyAlignment="1">
      <alignment horizontal="center" vertical="top" wrapText="1" readingOrder="1"/>
    </xf>
    <xf numFmtId="164" fontId="0" fillId="0" borderId="0" xfId="0" applyNumberFormat="1" applyAlignment="1">
      <alignment vertical="top" wrapText="1" readingOrder="2"/>
    </xf>
    <xf numFmtId="165" fontId="0" fillId="0" borderId="0" xfId="0" applyNumberFormat="1" applyAlignment="1">
      <alignment vertical="top" wrapText="1" readingOrder="2"/>
    </xf>
    <xf numFmtId="0" fontId="0" fillId="8" borderId="0" xfId="0" applyFill="1" applyAlignment="1">
      <alignment vertical="center"/>
    </xf>
    <xf numFmtId="0" fontId="8" fillId="0" borderId="0" xfId="0" applyFont="1" applyAlignment="1">
      <alignment vertical="center"/>
    </xf>
    <xf numFmtId="0" fontId="0" fillId="9" borderId="0" xfId="0" applyFill="1" applyAlignment="1">
      <alignment vertical="center"/>
    </xf>
    <xf numFmtId="0" fontId="10" fillId="9" borderId="2" xfId="0" applyFont="1" applyFill="1" applyBorder="1" applyAlignment="1">
      <alignment horizontal="center" vertical="center" wrapText="1"/>
    </xf>
    <xf numFmtId="0" fontId="0" fillId="10" borderId="0" xfId="0" applyFill="1" applyAlignment="1">
      <alignment vertical="center"/>
    </xf>
    <xf numFmtId="166" fontId="0" fillId="9" borderId="2" xfId="0" applyNumberFormat="1" applyFill="1" applyBorder="1"/>
    <xf numFmtId="167" fontId="0" fillId="9" borderId="2" xfId="0" applyNumberFormat="1" applyFill="1" applyBorder="1"/>
    <xf numFmtId="0" fontId="9" fillId="0" borderId="0" xfId="0" applyFont="1"/>
    <xf numFmtId="0" fontId="11" fillId="0" borderId="0" xfId="0" applyFont="1"/>
    <xf numFmtId="168" fontId="11" fillId="0" borderId="0" xfId="0" applyNumberFormat="1" applyFont="1"/>
    <xf numFmtId="165" fontId="9" fillId="7" borderId="0" xfId="0" applyNumberFormat="1" applyFont="1" applyFill="1" applyAlignment="1">
      <alignment vertical="top" wrapText="1" readingOrder="2"/>
    </xf>
    <xf numFmtId="0" fontId="5" fillId="4" borderId="0" xfId="0" applyFont="1" applyFill="1" applyAlignment="1">
      <alignment horizontal="center" vertical="top" wrapText="1" readingOrder="1"/>
    </xf>
    <xf numFmtId="0" fontId="2" fillId="3" borderId="0" xfId="0" applyFont="1" applyFill="1" applyAlignment="1">
      <alignment vertical="top" wrapText="1" readingOrder="1"/>
    </xf>
    <xf numFmtId="0" fontId="9" fillId="9" borderId="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CC00"/>
      <color rgb="FFFFCC66"/>
      <color rgb="FFFBE2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WhiteSpace="0" workbookViewId="0">
      <selection sqref="A1:B1"/>
    </sheetView>
  </sheetViews>
  <sheetFormatPr defaultRowHeight="14.25" x14ac:dyDescent="0.2"/>
  <cols>
    <col min="1" max="1" width="48.625" bestFit="1" customWidth="1"/>
    <col min="2" max="2" width="129.75" bestFit="1" customWidth="1"/>
  </cols>
  <sheetData>
    <row r="1" spans="1:2" x14ac:dyDescent="0.2">
      <c r="A1" s="23" t="s">
        <v>0</v>
      </c>
      <c r="B1" s="23" t="s">
        <v>40</v>
      </c>
    </row>
    <row r="2" spans="1:2" ht="15" x14ac:dyDescent="0.2">
      <c r="A2" s="2" t="s">
        <v>1</v>
      </c>
      <c r="B2" t="s">
        <v>2</v>
      </c>
    </row>
    <row r="3" spans="1:2" ht="15" x14ac:dyDescent="0.2">
      <c r="A3" s="2" t="s">
        <v>3</v>
      </c>
      <c r="B3">
        <v>95125</v>
      </c>
    </row>
    <row r="4" spans="1:2" ht="15" x14ac:dyDescent="0.2">
      <c r="A4" s="2" t="s">
        <v>4</v>
      </c>
      <c r="B4" t="s">
        <v>5</v>
      </c>
    </row>
    <row r="5" spans="1:2" ht="15" x14ac:dyDescent="0.2">
      <c r="A5" s="2" t="s">
        <v>6</v>
      </c>
      <c r="B5" t="s">
        <v>7</v>
      </c>
    </row>
    <row r="6" spans="1:2" ht="15" x14ac:dyDescent="0.2">
      <c r="A6" s="2" t="s">
        <v>8</v>
      </c>
    </row>
    <row r="7" spans="1:2" x14ac:dyDescent="0.2">
      <c r="A7" s="1" t="s">
        <v>40</v>
      </c>
      <c r="B7" s="1" t="s">
        <v>9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WhiteSpace="0" workbookViewId="0"/>
  </sheetViews>
  <sheetFormatPr defaultRowHeight="14.25" x14ac:dyDescent="0.2"/>
  <cols>
    <col min="1" max="1" width="27.5" bestFit="1" customWidth="1"/>
    <col min="2" max="2" width="42.875" bestFit="1" customWidth="1"/>
    <col min="3" max="3" width="18.75" bestFit="1" customWidth="1"/>
  </cols>
  <sheetData>
    <row r="1" spans="1:3" x14ac:dyDescent="0.2">
      <c r="A1" s="23" t="s">
        <v>10</v>
      </c>
      <c r="B1" s="23" t="s">
        <v>40</v>
      </c>
      <c r="C1" s="23" t="s">
        <v>40</v>
      </c>
    </row>
    <row r="2" spans="1:3" ht="15" x14ac:dyDescent="0.2">
      <c r="A2" s="3" t="s">
        <v>11</v>
      </c>
      <c r="B2" s="3" t="s">
        <v>12</v>
      </c>
      <c r="C2" s="3" t="s">
        <v>13</v>
      </c>
    </row>
    <row r="3" spans="1:3" x14ac:dyDescent="0.2">
      <c r="A3" s="1" t="s">
        <v>14</v>
      </c>
      <c r="B3" s="1" t="s">
        <v>15</v>
      </c>
      <c r="C3" s="1" t="s">
        <v>16</v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I28"/>
  <sheetViews>
    <sheetView tabSelected="1" showWhiteSpace="0" workbookViewId="0">
      <selection activeCell="G10" sqref="G10"/>
    </sheetView>
  </sheetViews>
  <sheetFormatPr defaultRowHeight="14.25" x14ac:dyDescent="0.2"/>
  <cols>
    <col min="1" max="1" width="96.75" bestFit="1" customWidth="1"/>
    <col min="2" max="2" width="18.125" bestFit="1" customWidth="1"/>
    <col min="3" max="3" width="19.75" customWidth="1"/>
    <col min="4" max="4" width="19.75" bestFit="1" customWidth="1"/>
    <col min="5" max="5" width="9.625" bestFit="1" customWidth="1"/>
  </cols>
  <sheetData>
    <row r="2" spans="1:9" ht="15" x14ac:dyDescent="0.25">
      <c r="A2" s="16" t="s">
        <v>50</v>
      </c>
      <c r="E2" t="s">
        <v>41</v>
      </c>
    </row>
    <row r="3" spans="1:9" x14ac:dyDescent="0.2">
      <c r="E3" s="9"/>
      <c r="F3" s="10" t="s">
        <v>42</v>
      </c>
      <c r="G3" s="10"/>
      <c r="H3" s="10"/>
      <c r="I3" s="10"/>
    </row>
    <row r="4" spans="1:9" x14ac:dyDescent="0.2">
      <c r="E4" s="13"/>
      <c r="F4" s="10" t="s">
        <v>43</v>
      </c>
      <c r="G4" s="10"/>
      <c r="H4" s="10"/>
      <c r="I4" s="10"/>
    </row>
    <row r="5" spans="1:9" x14ac:dyDescent="0.2">
      <c r="E5" s="11"/>
      <c r="F5" s="10" t="s">
        <v>44</v>
      </c>
      <c r="G5" s="10"/>
      <c r="H5" s="10"/>
      <c r="I5" s="10"/>
    </row>
    <row r="7" spans="1:9" ht="15" x14ac:dyDescent="0.2">
      <c r="A7" s="4" t="s">
        <v>40</v>
      </c>
      <c r="B7" s="4" t="s">
        <v>40</v>
      </c>
      <c r="C7" s="20" t="s">
        <v>14</v>
      </c>
      <c r="D7" s="20" t="s">
        <v>40</v>
      </c>
    </row>
    <row r="8" spans="1:9" ht="15" x14ac:dyDescent="0.2">
      <c r="A8" s="6" t="s">
        <v>17</v>
      </c>
      <c r="B8" s="6" t="s">
        <v>18</v>
      </c>
      <c r="C8" s="6" t="s">
        <v>19</v>
      </c>
      <c r="D8" s="6" t="s">
        <v>20</v>
      </c>
      <c r="E8" s="22" t="s">
        <v>45</v>
      </c>
      <c r="F8" s="22"/>
      <c r="G8" s="22"/>
    </row>
    <row r="9" spans="1:9" ht="34.5" customHeight="1" x14ac:dyDescent="0.2">
      <c r="A9" s="21" t="s">
        <v>21</v>
      </c>
      <c r="B9" s="21" t="s">
        <v>40</v>
      </c>
      <c r="C9" s="21" t="s">
        <v>40</v>
      </c>
      <c r="D9" s="21" t="s">
        <v>40</v>
      </c>
      <c r="E9" s="12" t="s">
        <v>46</v>
      </c>
      <c r="F9" s="12" t="s">
        <v>47</v>
      </c>
      <c r="G9" s="12" t="s">
        <v>48</v>
      </c>
    </row>
    <row r="10" spans="1:9" x14ac:dyDescent="0.2">
      <c r="A10" s="1" t="s">
        <v>22</v>
      </c>
      <c r="B10" s="7">
        <v>17000</v>
      </c>
      <c r="C10" s="8">
        <v>2.95</v>
      </c>
      <c r="D10" s="8">
        <v>50150</v>
      </c>
      <c r="E10" s="14">
        <v>2.75</v>
      </c>
      <c r="F10" s="14">
        <f>SUM(C10-E10)</f>
        <v>0.20000000000000018</v>
      </c>
      <c r="G10" s="15">
        <f>SUM(F10/E10)</f>
        <v>7.2727272727272793E-2</v>
      </c>
    </row>
    <row r="11" spans="1:9" x14ac:dyDescent="0.2">
      <c r="A11" s="1" t="s">
        <v>23</v>
      </c>
      <c r="B11" s="7">
        <v>10000</v>
      </c>
      <c r="C11" s="8">
        <v>9.85</v>
      </c>
      <c r="D11" s="8">
        <v>98500</v>
      </c>
      <c r="E11" s="14">
        <v>8.75</v>
      </c>
      <c r="F11" s="14">
        <f t="shared" ref="F11:F25" si="0">SUM(C11-E11)</f>
        <v>1.0999999999999996</v>
      </c>
      <c r="G11" s="15">
        <f t="shared" ref="G11:G25" si="1">SUM(F11/E11)</f>
        <v>0.12571428571428567</v>
      </c>
    </row>
    <row r="12" spans="1:9" x14ac:dyDescent="0.2">
      <c r="A12" s="1" t="s">
        <v>24</v>
      </c>
      <c r="B12" s="7">
        <v>3000</v>
      </c>
      <c r="C12" s="8">
        <v>14</v>
      </c>
      <c r="D12" s="8">
        <v>42000</v>
      </c>
      <c r="E12" s="14">
        <v>12.25</v>
      </c>
      <c r="F12" s="14">
        <f t="shared" si="0"/>
        <v>1.75</v>
      </c>
      <c r="G12" s="15">
        <f t="shared" si="1"/>
        <v>0.14285714285714285</v>
      </c>
    </row>
    <row r="13" spans="1:9" x14ac:dyDescent="0.2">
      <c r="A13" s="1" t="s">
        <v>25</v>
      </c>
      <c r="B13" s="7">
        <v>200</v>
      </c>
      <c r="C13" s="8">
        <v>200</v>
      </c>
      <c r="D13" s="8">
        <v>40000</v>
      </c>
      <c r="E13" s="14">
        <v>170</v>
      </c>
      <c r="F13" s="14">
        <f t="shared" si="0"/>
        <v>30</v>
      </c>
      <c r="G13" s="15">
        <f t="shared" si="1"/>
        <v>0.17647058823529413</v>
      </c>
    </row>
    <row r="14" spans="1:9" x14ac:dyDescent="0.2">
      <c r="A14" s="1" t="s">
        <v>26</v>
      </c>
      <c r="B14" s="7">
        <v>10</v>
      </c>
      <c r="C14" s="8">
        <v>225</v>
      </c>
      <c r="D14" s="8">
        <v>2250</v>
      </c>
      <c r="E14" s="14">
        <v>200</v>
      </c>
      <c r="F14" s="14">
        <f t="shared" si="0"/>
        <v>25</v>
      </c>
      <c r="G14" s="15">
        <f t="shared" si="1"/>
        <v>0.125</v>
      </c>
    </row>
    <row r="15" spans="1:9" x14ac:dyDescent="0.2">
      <c r="A15" s="1" t="s">
        <v>27</v>
      </c>
      <c r="B15" s="7">
        <v>25</v>
      </c>
      <c r="C15" s="8">
        <v>475</v>
      </c>
      <c r="D15" s="8">
        <v>11875</v>
      </c>
      <c r="E15" s="14">
        <v>425</v>
      </c>
      <c r="F15" s="14">
        <f t="shared" si="0"/>
        <v>50</v>
      </c>
      <c r="G15" s="15">
        <f t="shared" si="1"/>
        <v>0.11764705882352941</v>
      </c>
    </row>
    <row r="16" spans="1:9" x14ac:dyDescent="0.2">
      <c r="A16" s="1" t="s">
        <v>28</v>
      </c>
      <c r="B16" s="7">
        <v>200</v>
      </c>
      <c r="C16" s="8">
        <v>200</v>
      </c>
      <c r="D16" s="8">
        <v>40000</v>
      </c>
      <c r="E16" s="14">
        <v>170</v>
      </c>
      <c r="F16" s="14">
        <f t="shared" si="0"/>
        <v>30</v>
      </c>
      <c r="G16" s="15">
        <f t="shared" si="1"/>
        <v>0.17647058823529413</v>
      </c>
    </row>
    <row r="17" spans="1:7" x14ac:dyDescent="0.2">
      <c r="A17" s="1" t="s">
        <v>29</v>
      </c>
      <c r="B17" s="7">
        <v>100</v>
      </c>
      <c r="C17" s="8">
        <v>375</v>
      </c>
      <c r="D17" s="8">
        <v>37500</v>
      </c>
      <c r="E17" s="14">
        <v>325</v>
      </c>
      <c r="F17" s="14">
        <f t="shared" si="0"/>
        <v>50</v>
      </c>
      <c r="G17" s="15">
        <f t="shared" si="1"/>
        <v>0.15384615384615385</v>
      </c>
    </row>
    <row r="18" spans="1:7" x14ac:dyDescent="0.2">
      <c r="A18" s="1" t="s">
        <v>30</v>
      </c>
      <c r="B18" s="7">
        <v>25</v>
      </c>
      <c r="C18" s="8">
        <v>300</v>
      </c>
      <c r="D18" s="8">
        <v>7500</v>
      </c>
      <c r="E18" s="14">
        <v>275</v>
      </c>
      <c r="F18" s="14">
        <f t="shared" si="0"/>
        <v>25</v>
      </c>
      <c r="G18" s="15">
        <f t="shared" si="1"/>
        <v>9.0909090909090912E-2</v>
      </c>
    </row>
    <row r="19" spans="1:7" x14ac:dyDescent="0.2">
      <c r="A19" s="1" t="s">
        <v>31</v>
      </c>
      <c r="B19" s="7">
        <v>25</v>
      </c>
      <c r="C19" s="8">
        <v>300</v>
      </c>
      <c r="D19" s="8">
        <v>7500</v>
      </c>
      <c r="E19" s="14">
        <v>275</v>
      </c>
      <c r="F19" s="14">
        <f t="shared" si="0"/>
        <v>25</v>
      </c>
      <c r="G19" s="15">
        <f t="shared" si="1"/>
        <v>9.0909090909090912E-2</v>
      </c>
    </row>
    <row r="20" spans="1:7" x14ac:dyDescent="0.2">
      <c r="A20" s="1" t="s">
        <v>32</v>
      </c>
      <c r="B20" s="7">
        <v>25</v>
      </c>
      <c r="C20" s="8">
        <v>150</v>
      </c>
      <c r="D20" s="8">
        <v>3750</v>
      </c>
      <c r="E20" s="14">
        <v>120</v>
      </c>
      <c r="F20" s="14">
        <f t="shared" si="0"/>
        <v>30</v>
      </c>
      <c r="G20" s="15">
        <f t="shared" si="1"/>
        <v>0.25</v>
      </c>
    </row>
    <row r="21" spans="1:7" x14ac:dyDescent="0.2">
      <c r="A21" s="1" t="s">
        <v>33</v>
      </c>
      <c r="B21" s="7">
        <v>70000</v>
      </c>
      <c r="C21" s="8">
        <v>2.1</v>
      </c>
      <c r="D21" s="8">
        <v>147000</v>
      </c>
      <c r="E21" s="14">
        <v>1.85</v>
      </c>
      <c r="F21" s="14">
        <f t="shared" si="0"/>
        <v>0.25</v>
      </c>
      <c r="G21" s="15">
        <f t="shared" si="1"/>
        <v>0.13513513513513511</v>
      </c>
    </row>
    <row r="22" spans="1:7" x14ac:dyDescent="0.2">
      <c r="A22" s="1" t="s">
        <v>34</v>
      </c>
      <c r="B22" s="7">
        <v>3000</v>
      </c>
      <c r="C22" s="8">
        <v>4</v>
      </c>
      <c r="D22" s="8">
        <v>12000</v>
      </c>
      <c r="E22" s="14">
        <v>3</v>
      </c>
      <c r="F22" s="14">
        <f t="shared" si="0"/>
        <v>1</v>
      </c>
      <c r="G22" s="15">
        <f t="shared" si="1"/>
        <v>0.33333333333333331</v>
      </c>
    </row>
    <row r="23" spans="1:7" x14ac:dyDescent="0.2">
      <c r="A23" s="1" t="s">
        <v>35</v>
      </c>
      <c r="B23" s="7">
        <v>3000</v>
      </c>
      <c r="C23" s="8">
        <v>8</v>
      </c>
      <c r="D23" s="8">
        <v>24000</v>
      </c>
      <c r="E23" s="14">
        <v>7</v>
      </c>
      <c r="F23" s="14">
        <f t="shared" si="0"/>
        <v>1</v>
      </c>
      <c r="G23" s="15">
        <f t="shared" si="1"/>
        <v>0.14285714285714285</v>
      </c>
    </row>
    <row r="24" spans="1:7" x14ac:dyDescent="0.2">
      <c r="A24" s="1" t="s">
        <v>36</v>
      </c>
      <c r="B24" s="7">
        <v>15</v>
      </c>
      <c r="C24" s="8">
        <v>350</v>
      </c>
      <c r="D24" s="8">
        <v>5250</v>
      </c>
      <c r="E24" s="14">
        <v>350</v>
      </c>
      <c r="F24" s="14">
        <f t="shared" si="0"/>
        <v>0</v>
      </c>
      <c r="G24" s="15">
        <f t="shared" si="1"/>
        <v>0</v>
      </c>
    </row>
    <row r="25" spans="1:7" x14ac:dyDescent="0.2">
      <c r="A25" s="1" t="s">
        <v>37</v>
      </c>
      <c r="B25" s="7">
        <v>20</v>
      </c>
      <c r="C25" s="8">
        <v>250</v>
      </c>
      <c r="D25" s="8">
        <v>5000</v>
      </c>
      <c r="E25" s="14">
        <v>225</v>
      </c>
      <c r="F25" s="14">
        <f t="shared" si="0"/>
        <v>25</v>
      </c>
      <c r="G25" s="15">
        <f t="shared" si="1"/>
        <v>0.1111111111111111</v>
      </c>
    </row>
    <row r="26" spans="1:7" ht="15" x14ac:dyDescent="0.2">
      <c r="A26" s="6" t="s">
        <v>38</v>
      </c>
      <c r="B26" s="6" t="s">
        <v>39</v>
      </c>
      <c r="C26" s="5" t="s">
        <v>40</v>
      </c>
      <c r="D26" s="19">
        <v>534275</v>
      </c>
    </row>
    <row r="28" spans="1:7" x14ac:dyDescent="0.2">
      <c r="B28" s="17" t="s">
        <v>49</v>
      </c>
      <c r="C28" s="17"/>
      <c r="D28" s="18">
        <v>493135</v>
      </c>
    </row>
  </sheetData>
  <mergeCells count="3">
    <mergeCell ref="C7:D7"/>
    <mergeCell ref="A9:D9"/>
    <mergeCell ref="E8:G8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Solicitation Information</vt:lpstr>
      <vt:lpstr>Bidders</vt:lpstr>
      <vt:lpstr>Item 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lastModifiedBy>Lamug, Cromwell</cp:lastModifiedBy>
  <cp:revision>0</cp:revision>
  <dcterms:created xsi:type="dcterms:W3CDTF">2025-03-04T12:27:17Z</dcterms:created>
  <dcterms:modified xsi:type="dcterms:W3CDTF">2026-03-26T13:27:14Z</dcterms:modified>
</cp:coreProperties>
</file>