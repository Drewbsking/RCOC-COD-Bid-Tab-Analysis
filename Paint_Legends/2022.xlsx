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coc-my.sharepoint.com/personal/ddeneau_rcoc_org/Documents/Documents/Purchasing/2022/Pavement Markings/"/>
    </mc:Choice>
  </mc:AlternateContent>
  <xr:revisionPtr revIDLastSave="31" documentId="8_{07B901CE-C2B8-4EC8-901F-313F7E5D1AF7}" xr6:coauthVersionLast="47" xr6:coauthVersionMax="47" xr10:uidLastSave="{A3502F42-BCCE-43F9-9AA8-A83E9221EA23}"/>
  <bookViews>
    <workbookView xWindow="-108" yWindow="-108" windowWidth="30936" windowHeight="12576" activeTab="2" xr2:uid="{00000000-000D-0000-FFFF-FFFF00000000}"/>
  </bookViews>
  <sheets>
    <sheet name="Solicitation Information" sheetId="1" r:id="rId1"/>
    <sheet name="Bidders" sheetId="2" r:id="rId2"/>
    <sheet name="Item 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3" l="1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7" i="3"/>
  <c r="I7" i="3" s="1"/>
  <c r="H6" i="3"/>
  <c r="I6" i="3" s="1"/>
  <c r="H5" i="3"/>
  <c r="I5" i="3" s="1"/>
  <c r="H4" i="3"/>
  <c r="I4" i="3" s="1"/>
</calcChain>
</file>

<file path=xl/sharedStrings.xml><?xml version="1.0" encoding="utf-8"?>
<sst xmlns="http://schemas.openxmlformats.org/spreadsheetml/2006/main" count="63" uniqueCount="46">
  <si>
    <t>Solicitation Information</t>
  </si>
  <si>
    <t>Agency:</t>
  </si>
  <si>
    <t>Road Commission for Oakland County</t>
  </si>
  <si>
    <t>Number:</t>
  </si>
  <si>
    <t>Description:</t>
  </si>
  <si>
    <t>A CONTRACT FOR INSTALLATION OF COLD PLASTIC PAVEMENT MARKINGS ON VARIOUS ROADS LOCATED IN OAKLAND COUNTY, MICHIGAN.</t>
  </si>
  <si>
    <t>Deadline:</t>
  </si>
  <si>
    <t>2022-03-08 16:00:00 UTC</t>
  </si>
  <si>
    <t>Bidders</t>
  </si>
  <si>
    <t>Business Name</t>
  </si>
  <si>
    <t>Address</t>
  </si>
  <si>
    <t>Phone</t>
  </si>
  <si>
    <t>P.K. Contracting, Inc.</t>
  </si>
  <si>
    <t>1965 Barrett, Troy, MI 48084</t>
  </si>
  <si>
    <t>(248) 362-2130</t>
  </si>
  <si>
    <t>JV Contracting, Inc.</t>
  </si>
  <si>
    <t>7285 N. State Road, Goodrich, MI 48438</t>
  </si>
  <si>
    <t>(248) 308-6165</t>
  </si>
  <si>
    <t>Item</t>
  </si>
  <si>
    <t>Quantity</t>
  </si>
  <si>
    <t>Price</t>
  </si>
  <si>
    <t>Extension</t>
  </si>
  <si>
    <t>Schedule of Items (Itemized Bid Sheet)</t>
  </si>
  <si>
    <t>8110011 - Call Back, Mobilization - EA</t>
  </si>
  <si>
    <t>8110024 - Pavt Mrkg, Ovly Cold plastic, 6 inch, Crosswalk - Ft</t>
  </si>
  <si>
    <t>8110044 - Pavt Mrkg, Ovly Cold plastic, 18 Inch, Stop Bar - Ft</t>
  </si>
  <si>
    <t>8110045 - Pavt Mrkg, Ovly Cold plastic, 24 Inch, Stop Bar - Ft</t>
  </si>
  <si>
    <t>8110063 - Pavt Mrkg, Ovly Cold Plastic, Lt Turn Arrow Sym - Ea</t>
  </si>
  <si>
    <t>8110068 - Pavt Mrkg, Ovly Cold plastic, Only - Ea</t>
  </si>
  <si>
    <t>8110069 - Pavt Mrkg, Ovly Cold plastic, Railroad Sym - Ea</t>
  </si>
  <si>
    <t>8110071 - Pavt Mrkg, Ovly Cold plastic, Rt Turn Arrow Sym - Ea</t>
  </si>
  <si>
    <t>8110074 - Pavt Mrkg, Ovly Cold plastic, School - Ea</t>
  </si>
  <si>
    <t>8110076 - Pavt Mrkg, Ovly Cold plastic, Thru and Lt Turn Arrow Sym - Ea</t>
  </si>
  <si>
    <t>8110077 - Pavt Mrkg, Ovly Cold plastic, Thru and Rt Turn Arrow Sym - Ea</t>
  </si>
  <si>
    <t>8110078 - Pavt Mrkg, Ovly Cold plastic, Thru Arrow Sym - Ea</t>
  </si>
  <si>
    <t>8110343 - Rem Spec Mrkg - Sft</t>
  </si>
  <si>
    <t>8110453 - Recessing Pavt Mrkg, Guide Line - Ft</t>
  </si>
  <si>
    <t>8110562 - Pavt Mrkg, Ovly Cold Plastic, 6 inch, Dotted Turning Guide Line, White - Ft</t>
  </si>
  <si>
    <t>8117050 - _Pavt Mrkg, Ovly Cold plastic, Circle (Roundabout) Sym - Ea</t>
  </si>
  <si>
    <t>16 Items</t>
  </si>
  <si>
    <t>Totals</t>
  </si>
  <si>
    <t/>
  </si>
  <si>
    <t>Bid Unit Price Comparison</t>
  </si>
  <si>
    <t>2021 Unit Price</t>
  </si>
  <si>
    <t>Unit Price Difference</t>
  </si>
  <si>
    <t>Percent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</si>
</sst>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0;\(#,##0.000\)"/>
    <numFmt numFmtId="165" formatCode="\$#,##0.000;\(\$#,##0.000\)"/>
    <numFmt numFmtId="166" formatCode="&quot;$&quot;#,##0.00"/>
  </numFmts>
  <fonts count="10" x14ac:knownFonts="1">
    <font>
      <sz val="11"/>
      <name val="Arial"/>
      <family val="1"/>
    </font>
    <font>
      <b/>
      <sz val="12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2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CCFFFF"/>
      </patternFill>
    </fill>
    <fill>
      <patternFill patternType="solid">
        <fgColor rgb="FF808080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rgb="FFC0C0C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4" borderId="0" xfId="0" applyFont="1" applyFill="1" applyAlignment="1">
      <alignment horizontal="center" vertical="top" wrapText="1" readingOrder="1"/>
    </xf>
    <xf numFmtId="0" fontId="6" fillId="5" borderId="0" xfId="0" applyFont="1" applyFill="1" applyAlignment="1">
      <alignment vertical="top" wrapText="1" readingOrder="1"/>
    </xf>
    <xf numFmtId="0" fontId="7" fillId="6" borderId="0" xfId="0" applyFont="1" applyFill="1" applyAlignment="1">
      <alignment horizontal="center" vertical="top" wrapText="1" readingOrder="1"/>
    </xf>
    <xf numFmtId="165" fontId="0" fillId="7" borderId="0" xfId="0" applyNumberFormat="1" applyFill="1" applyAlignment="1">
      <alignment vertical="top" wrapText="1" readingOrder="2"/>
    </xf>
    <xf numFmtId="0" fontId="1" fillId="2" borderId="0" xfId="0" applyFont="1" applyFill="1" applyAlignment="1">
      <alignment vertical="top" wrapText="1" readingOrder="1"/>
    </xf>
    <xf numFmtId="0" fontId="5" fillId="4" borderId="0" xfId="0" applyFont="1" applyFill="1" applyAlignment="1">
      <alignment horizontal="center" vertical="top" wrapText="1" readingOrder="1"/>
    </xf>
    <xf numFmtId="0" fontId="2" fillId="3" borderId="0" xfId="0" applyFont="1" applyFill="1" applyAlignment="1">
      <alignment vertical="top" wrapText="1" readingOrder="1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40" fontId="8" fillId="0" borderId="4" xfId="0" applyNumberFormat="1" applyFont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40" fontId="9" fillId="8" borderId="5" xfId="0" applyNumberFormat="1" applyFont="1" applyFill="1" applyBorder="1" applyAlignment="1">
      <alignment horizontal="center" vertical="center" wrapText="1"/>
    </xf>
    <xf numFmtId="44" fontId="0" fillId="8" borderId="6" xfId="0" applyNumberFormat="1" applyFill="1" applyBorder="1" applyAlignment="1">
      <alignment horizontal="center"/>
    </xf>
    <xf numFmtId="166" fontId="0" fillId="8" borderId="6" xfId="0" applyNumberFormat="1" applyFill="1" applyBorder="1" applyAlignment="1">
      <alignment horizontal="center"/>
    </xf>
    <xf numFmtId="10" fontId="0" fillId="8" borderId="6" xfId="0" applyNumberFormat="1" applyFill="1" applyBorder="1" applyAlignment="1">
      <alignment horizontal="center"/>
    </xf>
    <xf numFmtId="2" fontId="0" fillId="8" borderId="6" xfId="0" applyNumberFormat="1" applyFill="1" applyBorder="1" applyAlignment="1">
      <alignment horizontal="center"/>
    </xf>
    <xf numFmtId="4" fontId="0" fillId="8" borderId="6" xfId="0" applyNumberFormat="1" applyFill="1" applyBorder="1" applyAlignment="1">
      <alignment horizontal="center"/>
    </xf>
    <xf numFmtId="0" fontId="0" fillId="0" borderId="6" xfId="0" applyBorder="1" applyAlignment="1">
      <alignment vertical="top" wrapText="1" readingOrder="1"/>
    </xf>
    <xf numFmtId="164" fontId="0" fillId="0" borderId="6" xfId="0" applyNumberFormat="1" applyBorder="1" applyAlignment="1">
      <alignment vertical="top" wrapText="1" readingOrder="2"/>
    </xf>
    <xf numFmtId="165" fontId="0" fillId="9" borderId="6" xfId="0" applyNumberFormat="1" applyFill="1" applyBorder="1" applyAlignment="1">
      <alignment vertical="top" wrapText="1" readingOrder="2"/>
    </xf>
    <xf numFmtId="165" fontId="0" fillId="0" borderId="6" xfId="0" applyNumberFormat="1" applyBorder="1" applyAlignment="1">
      <alignment vertical="top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showOutlineSymbols="0" showWhiteSpace="0" workbookViewId="0">
      <selection sqref="A1:B1"/>
    </sheetView>
  </sheetViews>
  <sheetFormatPr defaultRowHeight="13.8" x14ac:dyDescent="0.25"/>
  <cols>
    <col min="1" max="1" width="23" bestFit="1" customWidth="1"/>
    <col min="2" max="2" width="110.8984375" bestFit="1" customWidth="1"/>
  </cols>
  <sheetData>
    <row r="1" spans="1:2" x14ac:dyDescent="0.25">
      <c r="A1" s="8" t="s">
        <v>0</v>
      </c>
      <c r="B1" s="8" t="s">
        <v>41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>
        <v>95122</v>
      </c>
    </row>
    <row r="4" spans="1:2" x14ac:dyDescent="0.25">
      <c r="A4" s="2" t="s">
        <v>4</v>
      </c>
      <c r="B4" t="s">
        <v>5</v>
      </c>
    </row>
    <row r="5" spans="1:2" x14ac:dyDescent="0.25">
      <c r="A5" s="2" t="s">
        <v>6</v>
      </c>
      <c r="B5" t="s">
        <v>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showOutlineSymbols="0" showWhiteSpace="0" workbookViewId="0"/>
  </sheetViews>
  <sheetFormatPr defaultRowHeight="13.8" x14ac:dyDescent="0.25"/>
  <cols>
    <col min="1" max="1" width="17.8984375" bestFit="1" customWidth="1"/>
    <col min="2" max="2" width="35" bestFit="1" customWidth="1"/>
    <col min="3" max="3" width="15.19921875" bestFit="1" customWidth="1"/>
  </cols>
  <sheetData>
    <row r="1" spans="1:3" x14ac:dyDescent="0.25">
      <c r="A1" s="8" t="s">
        <v>8</v>
      </c>
      <c r="B1" s="8" t="s">
        <v>41</v>
      </c>
      <c r="C1" s="8" t="s">
        <v>41</v>
      </c>
    </row>
    <row r="2" spans="1:3" x14ac:dyDescent="0.25">
      <c r="A2" s="3" t="s">
        <v>9</v>
      </c>
      <c r="B2" s="3" t="s">
        <v>10</v>
      </c>
      <c r="C2" s="3" t="s">
        <v>11</v>
      </c>
    </row>
    <row r="3" spans="1:3" ht="27.6" x14ac:dyDescent="0.25">
      <c r="A3" s="1" t="s">
        <v>12</v>
      </c>
      <c r="B3" s="1" t="s">
        <v>13</v>
      </c>
      <c r="C3" s="1" t="s">
        <v>14</v>
      </c>
    </row>
    <row r="4" spans="1:3" x14ac:dyDescent="0.25">
      <c r="A4" s="1" t="s">
        <v>15</v>
      </c>
      <c r="B4" s="1" t="s">
        <v>16</v>
      </c>
      <c r="C4" s="1" t="s">
        <v>17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0"/>
  <sheetViews>
    <sheetView tabSelected="1" showOutlineSymbols="0" showWhiteSpace="0" workbookViewId="0">
      <selection activeCell="A14" sqref="A14"/>
    </sheetView>
  </sheetViews>
  <sheetFormatPr defaultRowHeight="13.8" x14ac:dyDescent="0.25"/>
  <cols>
    <col min="1" max="1" width="66.8984375" bestFit="1" customWidth="1"/>
    <col min="2" max="2" width="11.19921875" bestFit="1" customWidth="1"/>
    <col min="3" max="3" width="22.69921875" bestFit="1" customWidth="1"/>
    <col min="4" max="4" width="12.8984375" bestFit="1" customWidth="1"/>
    <col min="5" max="5" width="21.09765625" bestFit="1" customWidth="1"/>
    <col min="6" max="6" width="12.8984375" bestFit="1" customWidth="1"/>
    <col min="7" max="7" width="11.5" customWidth="1"/>
    <col min="8" max="8" width="10.59765625" customWidth="1"/>
    <col min="9" max="9" width="12" customWidth="1"/>
  </cols>
  <sheetData>
    <row r="1" spans="1:9" x14ac:dyDescent="0.25">
      <c r="A1" s="4" t="s">
        <v>41</v>
      </c>
      <c r="B1" s="4" t="s">
        <v>41</v>
      </c>
      <c r="C1" s="9" t="s">
        <v>12</v>
      </c>
      <c r="D1" s="9" t="s">
        <v>41</v>
      </c>
      <c r="E1" s="9" t="s">
        <v>15</v>
      </c>
      <c r="F1" s="9" t="s">
        <v>41</v>
      </c>
    </row>
    <row r="2" spans="1:9" ht="15" x14ac:dyDescent="0.25">
      <c r="A2" s="6" t="s">
        <v>18</v>
      </c>
      <c r="B2" s="6" t="s">
        <v>19</v>
      </c>
      <c r="C2" s="6" t="s">
        <v>20</v>
      </c>
      <c r="D2" s="6" t="s">
        <v>21</v>
      </c>
      <c r="E2" s="6" t="s">
        <v>20</v>
      </c>
      <c r="F2" s="6" t="s">
        <v>21</v>
      </c>
      <c r="G2" s="11" t="s">
        <v>42</v>
      </c>
      <c r="H2" s="12"/>
      <c r="I2" s="13"/>
    </row>
    <row r="3" spans="1:9" ht="37.200000000000003" customHeight="1" x14ac:dyDescent="0.25">
      <c r="A3" s="10" t="s">
        <v>22</v>
      </c>
      <c r="B3" s="10" t="s">
        <v>41</v>
      </c>
      <c r="C3" s="10" t="s">
        <v>41</v>
      </c>
      <c r="D3" s="10" t="s">
        <v>41</v>
      </c>
      <c r="E3" s="10" t="s">
        <v>41</v>
      </c>
      <c r="F3" s="10" t="s">
        <v>41</v>
      </c>
      <c r="G3" s="14" t="s">
        <v>43</v>
      </c>
      <c r="H3" s="14" t="s">
        <v>44</v>
      </c>
      <c r="I3" s="15" t="s">
        <v>45</v>
      </c>
    </row>
    <row r="4" spans="1:9" x14ac:dyDescent="0.25">
      <c r="A4" s="21" t="s">
        <v>23</v>
      </c>
      <c r="B4" s="22">
        <v>20</v>
      </c>
      <c r="C4" s="23">
        <v>250</v>
      </c>
      <c r="D4" s="24">
        <v>5000</v>
      </c>
      <c r="E4" s="24">
        <v>500</v>
      </c>
      <c r="F4" s="24">
        <v>10000</v>
      </c>
      <c r="G4" s="16">
        <v>300</v>
      </c>
      <c r="H4" s="17">
        <f>C4-G4</f>
        <v>-50</v>
      </c>
      <c r="I4" s="18">
        <f>H4/C4</f>
        <v>-0.2</v>
      </c>
    </row>
    <row r="5" spans="1:9" x14ac:dyDescent="0.25">
      <c r="A5" s="21" t="s">
        <v>24</v>
      </c>
      <c r="B5" s="22">
        <v>35000</v>
      </c>
      <c r="C5" s="23">
        <v>2.2000000000000002</v>
      </c>
      <c r="D5" s="24">
        <v>77000</v>
      </c>
      <c r="E5" s="24">
        <v>2.7</v>
      </c>
      <c r="F5" s="24">
        <v>94500</v>
      </c>
      <c r="G5" s="19">
        <v>2</v>
      </c>
      <c r="H5" s="20">
        <f t="shared" ref="H5:H19" si="0">C5-G5</f>
        <v>0.20000000000000018</v>
      </c>
      <c r="I5" s="18">
        <f t="shared" ref="I5:I13" si="1">H5/C5</f>
        <v>9.0909090909090981E-2</v>
      </c>
    </row>
    <row r="6" spans="1:9" x14ac:dyDescent="0.25">
      <c r="A6" s="21" t="s">
        <v>25</v>
      </c>
      <c r="B6" s="22">
        <v>13000</v>
      </c>
      <c r="C6" s="23">
        <v>6.1</v>
      </c>
      <c r="D6" s="24">
        <v>79300</v>
      </c>
      <c r="E6" s="24">
        <v>5.75</v>
      </c>
      <c r="F6" s="24">
        <v>74750</v>
      </c>
      <c r="G6" s="19">
        <v>5.25</v>
      </c>
      <c r="H6" s="20">
        <f t="shared" si="0"/>
        <v>0.84999999999999964</v>
      </c>
      <c r="I6" s="18">
        <f t="shared" si="1"/>
        <v>0.13934426229508193</v>
      </c>
    </row>
    <row r="7" spans="1:9" x14ac:dyDescent="0.25">
      <c r="A7" s="21" t="s">
        <v>26</v>
      </c>
      <c r="B7" s="22">
        <v>4500</v>
      </c>
      <c r="C7" s="23">
        <v>8.1</v>
      </c>
      <c r="D7" s="24">
        <v>36450</v>
      </c>
      <c r="E7" s="24">
        <v>9</v>
      </c>
      <c r="F7" s="24">
        <v>40500</v>
      </c>
      <c r="G7" s="19">
        <v>8</v>
      </c>
      <c r="H7" s="20">
        <f t="shared" si="0"/>
        <v>9.9999999999999645E-2</v>
      </c>
      <c r="I7" s="18">
        <f t="shared" si="1"/>
        <v>1.2345679012345635E-2</v>
      </c>
    </row>
    <row r="8" spans="1:9" x14ac:dyDescent="0.25">
      <c r="A8" s="21" t="s">
        <v>27</v>
      </c>
      <c r="B8" s="22">
        <v>450</v>
      </c>
      <c r="C8" s="23">
        <v>100</v>
      </c>
      <c r="D8" s="24">
        <v>45000</v>
      </c>
      <c r="E8" s="24">
        <v>130</v>
      </c>
      <c r="F8" s="24">
        <v>58500</v>
      </c>
      <c r="G8" s="19">
        <v>110</v>
      </c>
      <c r="H8" s="20">
        <f t="shared" si="0"/>
        <v>-10</v>
      </c>
      <c r="I8" s="18">
        <f t="shared" si="1"/>
        <v>-0.1</v>
      </c>
    </row>
    <row r="9" spans="1:9" x14ac:dyDescent="0.25">
      <c r="A9" s="21" t="s">
        <v>28</v>
      </c>
      <c r="B9" s="22">
        <v>8</v>
      </c>
      <c r="C9" s="23">
        <v>110</v>
      </c>
      <c r="D9" s="24">
        <v>880</v>
      </c>
      <c r="E9" s="24">
        <v>110</v>
      </c>
      <c r="F9" s="24">
        <v>880</v>
      </c>
      <c r="G9" s="19">
        <v>110</v>
      </c>
      <c r="H9" s="20">
        <f t="shared" si="0"/>
        <v>0</v>
      </c>
      <c r="I9" s="18">
        <f t="shared" si="1"/>
        <v>0</v>
      </c>
    </row>
    <row r="10" spans="1:9" x14ac:dyDescent="0.25">
      <c r="A10" s="21" t="s">
        <v>29</v>
      </c>
      <c r="B10" s="22">
        <v>20</v>
      </c>
      <c r="C10" s="23">
        <v>300</v>
      </c>
      <c r="D10" s="24">
        <v>6000</v>
      </c>
      <c r="E10" s="24">
        <v>335</v>
      </c>
      <c r="F10" s="24">
        <v>6700</v>
      </c>
      <c r="G10" s="19">
        <v>300</v>
      </c>
      <c r="H10" s="20">
        <f t="shared" si="0"/>
        <v>0</v>
      </c>
      <c r="I10" s="18">
        <f t="shared" si="1"/>
        <v>0</v>
      </c>
    </row>
    <row r="11" spans="1:9" x14ac:dyDescent="0.25">
      <c r="A11" s="21" t="s">
        <v>30</v>
      </c>
      <c r="B11" s="22">
        <v>400</v>
      </c>
      <c r="C11" s="23">
        <v>100</v>
      </c>
      <c r="D11" s="24">
        <v>40000</v>
      </c>
      <c r="E11" s="24">
        <v>130</v>
      </c>
      <c r="F11" s="24">
        <v>52000</v>
      </c>
      <c r="G11" s="19">
        <v>110</v>
      </c>
      <c r="H11" s="20">
        <f t="shared" si="0"/>
        <v>-10</v>
      </c>
      <c r="I11" s="18">
        <f t="shared" si="1"/>
        <v>-0.1</v>
      </c>
    </row>
    <row r="12" spans="1:9" x14ac:dyDescent="0.25">
      <c r="A12" s="21" t="s">
        <v>31</v>
      </c>
      <c r="B12" s="22">
        <v>100</v>
      </c>
      <c r="C12" s="23">
        <v>190</v>
      </c>
      <c r="D12" s="24">
        <v>19000</v>
      </c>
      <c r="E12" s="24">
        <v>210</v>
      </c>
      <c r="F12" s="24">
        <v>21000</v>
      </c>
      <c r="G12" s="19">
        <v>200</v>
      </c>
      <c r="H12" s="20">
        <f t="shared" si="0"/>
        <v>-10</v>
      </c>
      <c r="I12" s="18">
        <f t="shared" si="1"/>
        <v>-5.2631578947368418E-2</v>
      </c>
    </row>
    <row r="13" spans="1:9" x14ac:dyDescent="0.25">
      <c r="A13" s="21" t="s">
        <v>32</v>
      </c>
      <c r="B13" s="22">
        <v>30</v>
      </c>
      <c r="C13" s="23">
        <v>190</v>
      </c>
      <c r="D13" s="24">
        <v>5700</v>
      </c>
      <c r="E13" s="24">
        <v>210</v>
      </c>
      <c r="F13" s="24">
        <v>6300</v>
      </c>
      <c r="G13" s="19">
        <v>200</v>
      </c>
      <c r="H13" s="20">
        <f t="shared" si="0"/>
        <v>-10</v>
      </c>
      <c r="I13" s="18">
        <f t="shared" si="1"/>
        <v>-5.2631578947368418E-2</v>
      </c>
    </row>
    <row r="14" spans="1:9" x14ac:dyDescent="0.25">
      <c r="A14" s="21" t="s">
        <v>33</v>
      </c>
      <c r="B14" s="22">
        <v>30</v>
      </c>
      <c r="C14" s="23">
        <v>190</v>
      </c>
      <c r="D14" s="24">
        <v>5700</v>
      </c>
      <c r="E14" s="24">
        <v>210</v>
      </c>
      <c r="F14" s="24">
        <v>6300</v>
      </c>
      <c r="G14" s="19">
        <v>200</v>
      </c>
      <c r="H14" s="20">
        <f t="shared" si="0"/>
        <v>-10</v>
      </c>
      <c r="I14" s="18">
        <f t="shared" ref="I14:I19" si="2">H14/C14</f>
        <v>-5.2631578947368418E-2</v>
      </c>
    </row>
    <row r="15" spans="1:9" x14ac:dyDescent="0.25">
      <c r="A15" s="21" t="s">
        <v>34</v>
      </c>
      <c r="B15" s="22">
        <v>15</v>
      </c>
      <c r="C15" s="23">
        <v>70</v>
      </c>
      <c r="D15" s="24">
        <v>1050</v>
      </c>
      <c r="E15" s="24">
        <v>90</v>
      </c>
      <c r="F15" s="24">
        <v>1350</v>
      </c>
      <c r="G15" s="19">
        <v>70</v>
      </c>
      <c r="H15" s="20">
        <f t="shared" si="0"/>
        <v>0</v>
      </c>
      <c r="I15" s="18">
        <f t="shared" si="2"/>
        <v>0</v>
      </c>
    </row>
    <row r="16" spans="1:9" x14ac:dyDescent="0.25">
      <c r="A16" s="21" t="s">
        <v>35</v>
      </c>
      <c r="B16" s="22">
        <v>103000</v>
      </c>
      <c r="C16" s="23">
        <v>1.3</v>
      </c>
      <c r="D16" s="24">
        <v>133900</v>
      </c>
      <c r="E16" s="24">
        <v>1.5</v>
      </c>
      <c r="F16" s="24">
        <v>154500</v>
      </c>
      <c r="G16" s="19">
        <v>1.1000000000000001</v>
      </c>
      <c r="H16" s="20">
        <f t="shared" si="0"/>
        <v>0.19999999999999996</v>
      </c>
      <c r="I16" s="18">
        <f t="shared" si="2"/>
        <v>0.1538461538461538</v>
      </c>
    </row>
    <row r="17" spans="1:9" x14ac:dyDescent="0.25">
      <c r="A17" s="21" t="s">
        <v>36</v>
      </c>
      <c r="B17" s="22">
        <v>4500</v>
      </c>
      <c r="C17" s="23">
        <v>3</v>
      </c>
      <c r="D17" s="24">
        <v>13500</v>
      </c>
      <c r="E17" s="24">
        <v>6</v>
      </c>
      <c r="F17" s="24">
        <v>27000</v>
      </c>
      <c r="G17" s="19">
        <v>6</v>
      </c>
      <c r="H17" s="20">
        <f t="shared" si="0"/>
        <v>-3</v>
      </c>
      <c r="I17" s="18">
        <f t="shared" si="2"/>
        <v>-1</v>
      </c>
    </row>
    <row r="18" spans="1:9" ht="27.6" x14ac:dyDescent="0.25">
      <c r="A18" s="21" t="s">
        <v>37</v>
      </c>
      <c r="B18" s="22">
        <v>4500</v>
      </c>
      <c r="C18" s="23">
        <v>6</v>
      </c>
      <c r="D18" s="24">
        <v>27000</v>
      </c>
      <c r="E18" s="24">
        <v>6</v>
      </c>
      <c r="F18" s="24">
        <v>27000</v>
      </c>
      <c r="G18" s="19">
        <v>6</v>
      </c>
      <c r="H18" s="20">
        <f t="shared" si="0"/>
        <v>0</v>
      </c>
      <c r="I18" s="18">
        <f t="shared" si="2"/>
        <v>0</v>
      </c>
    </row>
    <row r="19" spans="1:9" x14ac:dyDescent="0.25">
      <c r="A19" s="21" t="s">
        <v>38</v>
      </c>
      <c r="B19" s="22">
        <v>20</v>
      </c>
      <c r="C19" s="23">
        <v>150</v>
      </c>
      <c r="D19" s="24">
        <v>3000</v>
      </c>
      <c r="E19" s="24">
        <v>100</v>
      </c>
      <c r="F19" s="24">
        <v>2000</v>
      </c>
      <c r="G19" s="19">
        <v>250</v>
      </c>
      <c r="H19" s="20">
        <f t="shared" si="0"/>
        <v>-100</v>
      </c>
      <c r="I19" s="18">
        <f t="shared" si="2"/>
        <v>-0.66666666666666663</v>
      </c>
    </row>
    <row r="20" spans="1:9" x14ac:dyDescent="0.25">
      <c r="A20" s="6" t="s">
        <v>39</v>
      </c>
      <c r="B20" s="6" t="s">
        <v>40</v>
      </c>
      <c r="C20" s="5" t="s">
        <v>41</v>
      </c>
      <c r="D20" s="7">
        <v>498480</v>
      </c>
      <c r="E20" s="5" t="s">
        <v>41</v>
      </c>
      <c r="F20" s="7">
        <v>583280</v>
      </c>
    </row>
  </sheetData>
  <mergeCells count="3">
    <mergeCell ref="C1:D1"/>
    <mergeCell ref="E1:F1"/>
    <mergeCell ref="A3:F3"/>
  </mergeCells>
  <pageMargins left="0.75" right="0.75" top="1" bottom="1" header="0.5" footer="0.5"/>
  <pageSetup scale="61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Solicitation Information</vt:lpstr>
      <vt:lpstr>Bidders</vt:lpstr>
      <vt:lpstr>Item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Kittell, Jennifer L</dc:creator>
  <cp:lastModifiedBy>Deneau, Danielle</cp:lastModifiedBy>
  <cp:lastPrinted>2022-03-16T13:43:08Z</cp:lastPrinted>
  <dcterms:created xsi:type="dcterms:W3CDTF">2022-03-08T16:15:13Z</dcterms:created>
  <dcterms:modified xsi:type="dcterms:W3CDTF">2022-03-16T13:43:13Z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2022-03-08T11:14:37Z</dcterms:created>
  <cp:revision>0</cp:revision>
</cp:coreProperties>
</file>