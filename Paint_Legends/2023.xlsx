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clamug_rcoc_org/Documents/Desktop/"/>
    </mc:Choice>
  </mc:AlternateContent>
  <xr:revisionPtr revIDLastSave="2" documentId="14_{7DFA5396-3AA6-4E07-8161-914B65CD9508}" xr6:coauthVersionLast="47" xr6:coauthVersionMax="47" xr10:uidLastSave="{D5B9E258-4D66-48A2-B425-9096151C4257}"/>
  <bookViews>
    <workbookView xWindow="-120" yWindow="-120" windowWidth="29040" windowHeight="1584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7" i="3" l="1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</calcChain>
</file>

<file path=xl/sharedStrings.xml><?xml version="1.0" encoding="utf-8"?>
<sst xmlns="http://schemas.openxmlformats.org/spreadsheetml/2006/main" count="62" uniqueCount="50">
  <si>
    <t>Solicitation Information</t>
  </si>
  <si>
    <t>Agency:</t>
  </si>
  <si>
    <t>Road Commission for Oakland County</t>
  </si>
  <si>
    <t>Number:</t>
  </si>
  <si>
    <t>Description:</t>
  </si>
  <si>
    <t>A CONTRACT FOR INSTALLATION OF COLD PLASTIC PAVEMENT MARKINGS ON VARIOUS ROADS LOCATED IN OAKLAND COUNTY, MICHIGAN.</t>
  </si>
  <si>
    <t>Deadline:</t>
  </si>
  <si>
    <t>2023-02-28 16:00:00 UTC</t>
  </si>
  <si>
    <t>Bidders</t>
  </si>
  <si>
    <t>Business Name</t>
  </si>
  <si>
    <t>Address</t>
  </si>
  <si>
    <t>Phone</t>
  </si>
  <si>
    <t>P.K. Contracting, Inc.</t>
  </si>
  <si>
    <t>1965 Barrett Dr, Troy, MI 48084-5372</t>
  </si>
  <si>
    <t>(248) 362-2130</t>
  </si>
  <si>
    <t>Item</t>
  </si>
  <si>
    <t>Quantity</t>
  </si>
  <si>
    <t>Price</t>
  </si>
  <si>
    <t>Extension</t>
  </si>
  <si>
    <t>Schedule of Items (Itemized Bid Sheet)</t>
  </si>
  <si>
    <t>8110024 - Pavt Mrkg, Ovly Cold Plastic, 6 inch, Crosswalk - Ft</t>
  </si>
  <si>
    <t>8110044 - Pavt Mrkg, Ovly Cold Plastic, 18 inch, Stop Bar - Ft</t>
  </si>
  <si>
    <t>8110045 - Pavt Mrkg, Ovly Cold Plastic, 24 inch, Stop Bar - Ft</t>
  </si>
  <si>
    <t>8110063 - Pavt Mrkg, Ovly Cold Plastic, Lt Turn Arrow Sym - Ea</t>
  </si>
  <si>
    <t>8110068 - Pavt Mrkg, Ovly Cold Plastic, Only - Ea</t>
  </si>
  <si>
    <t>8110069 - Pavt Mrkg, Ovly Cold Plastic, Railroad Sym - Ea</t>
  </si>
  <si>
    <t>8110071 - Pavt Mrkg, Ovly Cold Plastic, Rt Turn Arrow Sym - Ea</t>
  </si>
  <si>
    <t>8110074 - Pavt Mrkg, Ovly Cold Plastic, School - Ea</t>
  </si>
  <si>
    <t>8110076  - Pavt Mrkg, Ovly Cold Plastic, Thru and Lt Turn Arrow Sym - Ea</t>
  </si>
  <si>
    <t>8110077 - Pavt Mrkg, Ovly Cold Plastic, Thru and Rt Turn Arrow Sym - Ea</t>
  </si>
  <si>
    <t>8110078 - Pavt Mrkg, Ovly Cold Plastic, Thru Arrow Sym - Ea</t>
  </si>
  <si>
    <t>8110343 - Rem Spec Mrkg - Sft</t>
  </si>
  <si>
    <t>8110453 - Recessing Pavt Mrkg, Guide Line - Ft</t>
  </si>
  <si>
    <t>8110562 - Pavt Mrkg, Ovly Cold Plastic, 6 inch, Dotted Turning Guide Line, White - Ft</t>
  </si>
  <si>
    <t>8117050 - _ Call Back, Mobilization - Ea</t>
  </si>
  <si>
    <t>8117050 - _ Pavt Mrkg, Ovly Cold Plastic, Circle (Roundabout) Sym - Ea</t>
  </si>
  <si>
    <t>16 Items</t>
  </si>
  <si>
    <t>Totals</t>
  </si>
  <si>
    <t>Agency Estimate</t>
  </si>
  <si>
    <t>$511,000.000</t>
  </si>
  <si>
    <t/>
  </si>
  <si>
    <t>95123 - 2023 County-Wide Legend Program</t>
  </si>
  <si>
    <t>2022    Unit Price</t>
  </si>
  <si>
    <t>2022-2023 Unit Price Difference</t>
  </si>
  <si>
    <t>2022-2023 Percent Difference</t>
  </si>
  <si>
    <t>Bid Unit Price Comparison</t>
  </si>
  <si>
    <t>Notes (color code):</t>
  </si>
  <si>
    <t>Low bid item meeting specifications</t>
  </si>
  <si>
    <t>Low bid Item not meeting specifications</t>
  </si>
  <si>
    <t>Price Comparison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</si>
</sst>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\(#,##0.000\)"/>
    <numFmt numFmtId="165" formatCode="\$#,##0.000;\(\$#,##0.000\)"/>
    <numFmt numFmtId="166" formatCode="&quot;$&quot;#,##0.000"/>
  </numFmts>
  <fonts count="12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2"/>
    </font>
    <font>
      <b/>
      <sz val="14"/>
      <name val="Arial"/>
      <family val="2"/>
    </font>
    <font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FFFF"/>
      </patternFill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10" fillId="0" borderId="0" xfId="0" applyFont="1"/>
    <xf numFmtId="0" fontId="0" fillId="0" borderId="0" xfId="0" applyAlignment="1">
      <alignment vertical="center"/>
    </xf>
    <xf numFmtId="0" fontId="0" fillId="9" borderId="0" xfId="0" applyFill="1" applyAlignment="1">
      <alignment vertical="center"/>
    </xf>
    <xf numFmtId="0" fontId="11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9" fillId="11" borderId="2" xfId="0" applyFont="1" applyFill="1" applyBorder="1" applyAlignment="1">
      <alignment horizontal="center" wrapText="1"/>
    </xf>
    <xf numFmtId="0" fontId="9" fillId="11" borderId="2" xfId="0" applyFont="1" applyFill="1" applyBorder="1" applyAlignment="1">
      <alignment wrapText="1"/>
    </xf>
    <xf numFmtId="10" fontId="0" fillId="11" borderId="2" xfId="0" applyNumberFormat="1" applyFill="1" applyBorder="1"/>
    <xf numFmtId="0" fontId="9" fillId="11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top" wrapText="1" readingOrder="1"/>
    </xf>
    <xf numFmtId="0" fontId="8" fillId="7" borderId="2" xfId="0" applyFont="1" applyFill="1" applyBorder="1" applyAlignment="1">
      <alignment horizontal="center" vertical="top" wrapText="1" readingOrder="1"/>
    </xf>
    <xf numFmtId="0" fontId="0" fillId="0" borderId="2" xfId="0" applyBorder="1" applyAlignment="1">
      <alignment vertical="top" wrapText="1" readingOrder="1"/>
    </xf>
    <xf numFmtId="0" fontId="6" fillId="5" borderId="2" xfId="0" applyFont="1" applyFill="1" applyBorder="1" applyAlignment="1">
      <alignment vertical="top" wrapText="1" readingOrder="1"/>
    </xf>
    <xf numFmtId="165" fontId="0" fillId="8" borderId="2" xfId="0" applyNumberFormat="1" applyFill="1" applyBorder="1" applyAlignment="1">
      <alignment vertical="top" wrapText="1" readingOrder="2"/>
    </xf>
    <xf numFmtId="0" fontId="7" fillId="6" borderId="2" xfId="0" applyFont="1" applyFill="1" applyBorder="1" applyAlignment="1">
      <alignment horizontal="right" vertical="top" wrapText="1" readingOrder="1"/>
    </xf>
    <xf numFmtId="166" fontId="0" fillId="11" borderId="3" xfId="0" applyNumberFormat="1" applyFill="1" applyBorder="1" applyAlignment="1">
      <alignment horizontal="right"/>
    </xf>
    <xf numFmtId="166" fontId="0" fillId="11" borderId="2" xfId="0" applyNumberFormat="1" applyFill="1" applyBorder="1" applyAlignment="1">
      <alignment horizontal="right"/>
    </xf>
    <xf numFmtId="164" fontId="0" fillId="0" borderId="2" xfId="0" applyNumberFormat="1" applyBorder="1" applyAlignment="1">
      <alignment horizontal="right" vertical="top" wrapText="1" readingOrder="2"/>
    </xf>
    <xf numFmtId="165" fontId="0" fillId="9" borderId="2" xfId="0" applyNumberFormat="1" applyFill="1" applyBorder="1" applyAlignment="1">
      <alignment horizontal="right" vertical="top" wrapText="1" readingOrder="2"/>
    </xf>
    <xf numFmtId="165" fontId="0" fillId="0" borderId="2" xfId="0" applyNumberFormat="1" applyBorder="1" applyAlignment="1">
      <alignment horizontal="right" vertical="top" wrapText="1" readingOrder="2"/>
    </xf>
    <xf numFmtId="0" fontId="1" fillId="2" borderId="0" xfId="0" applyFont="1" applyFill="1" applyAlignment="1">
      <alignment vertical="top" wrapText="1" readingOrder="1"/>
    </xf>
    <xf numFmtId="0" fontId="5" fillId="4" borderId="2" xfId="0" applyFont="1" applyFill="1" applyBorder="1" applyAlignment="1">
      <alignment horizontal="center" vertical="top" wrapText="1" readingOrder="1"/>
    </xf>
    <xf numFmtId="0" fontId="2" fillId="3" borderId="2" xfId="0" applyFont="1" applyFill="1" applyBorder="1" applyAlignment="1">
      <alignment vertical="top" wrapText="1" readingOrder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OutlineSymbols="0" showWhiteSpace="0" workbookViewId="0"/>
  </sheetViews>
  <sheetFormatPr defaultRowHeight="14.25" x14ac:dyDescent="0.2"/>
  <cols>
    <col min="1" max="1" width="23.125" bestFit="1" customWidth="1"/>
    <col min="2" max="2" width="110.875" bestFit="1" customWidth="1"/>
  </cols>
  <sheetData>
    <row r="1" spans="1:2" x14ac:dyDescent="0.2">
      <c r="A1" s="25" t="s">
        <v>0</v>
      </c>
      <c r="B1" s="25" t="s">
        <v>40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>
        <v>95123</v>
      </c>
    </row>
    <row r="4" spans="1:2" ht="15" x14ac:dyDescent="0.2">
      <c r="A4" s="2" t="s">
        <v>4</v>
      </c>
      <c r="B4" t="s">
        <v>5</v>
      </c>
    </row>
    <row r="5" spans="1:2" ht="15" x14ac:dyDescent="0.2">
      <c r="A5" s="2" t="s">
        <v>6</v>
      </c>
      <c r="B5" t="s">
        <v>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OutlineSymbols="0" showWhiteSpace="0" workbookViewId="0"/>
  </sheetViews>
  <sheetFormatPr defaultRowHeight="14.25" x14ac:dyDescent="0.2"/>
  <cols>
    <col min="1" max="1" width="17.75" bestFit="1" customWidth="1"/>
    <col min="2" max="2" width="32.75" bestFit="1" customWidth="1"/>
    <col min="3" max="3" width="15.25" bestFit="1" customWidth="1"/>
  </cols>
  <sheetData>
    <row r="1" spans="1:3" x14ac:dyDescent="0.2">
      <c r="A1" s="25" t="s">
        <v>8</v>
      </c>
      <c r="B1" s="25" t="s">
        <v>40</v>
      </c>
      <c r="C1" s="25" t="s">
        <v>40</v>
      </c>
    </row>
    <row r="2" spans="1:3" ht="15" x14ac:dyDescent="0.2">
      <c r="A2" s="3" t="s">
        <v>9</v>
      </c>
      <c r="B2" s="3" t="s">
        <v>10</v>
      </c>
      <c r="C2" s="3" t="s">
        <v>11</v>
      </c>
    </row>
    <row r="3" spans="1:3" ht="28.5" x14ac:dyDescent="0.2">
      <c r="A3" s="1" t="s">
        <v>12</v>
      </c>
      <c r="B3" s="1" t="s">
        <v>13</v>
      </c>
      <c r="C3" s="1" t="s">
        <v>14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tabSelected="1" showOutlineSymbols="0" showWhiteSpace="0" topLeftCell="A3" zoomScale="120" zoomScaleNormal="120" workbookViewId="0">
      <selection activeCell="E31" sqref="E31"/>
    </sheetView>
  </sheetViews>
  <sheetFormatPr defaultRowHeight="14.25" x14ac:dyDescent="0.2"/>
  <cols>
    <col min="1" max="1" width="66.875" bestFit="1" customWidth="1"/>
    <col min="2" max="2" width="22.5" customWidth="1"/>
    <col min="3" max="3" width="16.625" customWidth="1"/>
    <col min="4" max="4" width="16" customWidth="1"/>
    <col min="6" max="6" width="10.25" customWidth="1"/>
    <col min="7" max="7" width="10.625" customWidth="1"/>
  </cols>
  <sheetData>
    <row r="1" spans="1:9" x14ac:dyDescent="0.2">
      <c r="A1" t="s">
        <v>2</v>
      </c>
    </row>
    <row r="2" spans="1:9" ht="18" x14ac:dyDescent="0.25">
      <c r="A2" s="4" t="s">
        <v>41</v>
      </c>
    </row>
    <row r="4" spans="1:9" x14ac:dyDescent="0.2">
      <c r="E4" s="5" t="s">
        <v>46</v>
      </c>
      <c r="F4" s="5"/>
      <c r="G4" s="5"/>
      <c r="H4" s="5"/>
      <c r="I4" s="5"/>
    </row>
    <row r="5" spans="1:9" x14ac:dyDescent="0.2">
      <c r="E5" s="6"/>
      <c r="F5" s="7" t="s">
        <v>47</v>
      </c>
      <c r="G5" s="7"/>
      <c r="H5" s="7"/>
      <c r="I5" s="7"/>
    </row>
    <row r="6" spans="1:9" x14ac:dyDescent="0.2">
      <c r="E6" s="8"/>
      <c r="F6" s="7" t="s">
        <v>48</v>
      </c>
      <c r="G6" s="7"/>
      <c r="H6" s="7"/>
      <c r="I6" s="7"/>
    </row>
    <row r="7" spans="1:9" x14ac:dyDescent="0.2">
      <c r="E7" s="9"/>
      <c r="F7" s="7" t="s">
        <v>49</v>
      </c>
      <c r="G7" s="7"/>
      <c r="H7" s="7"/>
      <c r="I7" s="7"/>
    </row>
    <row r="9" spans="1:9" ht="15" x14ac:dyDescent="0.2">
      <c r="A9" s="14" t="s">
        <v>40</v>
      </c>
      <c r="B9" s="14" t="s">
        <v>40</v>
      </c>
      <c r="C9" s="26" t="s">
        <v>12</v>
      </c>
      <c r="D9" s="26" t="s">
        <v>40</v>
      </c>
    </row>
    <row r="10" spans="1:9" ht="15" x14ac:dyDescent="0.2">
      <c r="A10" s="15" t="s">
        <v>15</v>
      </c>
      <c r="B10" s="15" t="s">
        <v>16</v>
      </c>
      <c r="C10" s="15" t="s">
        <v>17</v>
      </c>
      <c r="D10" s="15" t="s">
        <v>18</v>
      </c>
      <c r="E10" s="28" t="s">
        <v>45</v>
      </c>
      <c r="F10" s="29"/>
      <c r="G10" s="29"/>
    </row>
    <row r="11" spans="1:9" ht="45" x14ac:dyDescent="0.25">
      <c r="A11" s="27" t="s">
        <v>19</v>
      </c>
      <c r="B11" s="27" t="s">
        <v>40</v>
      </c>
      <c r="C11" s="27" t="s">
        <v>40</v>
      </c>
      <c r="D11" s="27" t="s">
        <v>40</v>
      </c>
      <c r="E11" s="13" t="s">
        <v>42</v>
      </c>
      <c r="F11" s="10" t="s">
        <v>43</v>
      </c>
      <c r="G11" s="11" t="s">
        <v>44</v>
      </c>
    </row>
    <row r="12" spans="1:9" x14ac:dyDescent="0.2">
      <c r="A12" s="16" t="s">
        <v>20</v>
      </c>
      <c r="B12" s="22">
        <v>32000</v>
      </c>
      <c r="C12" s="23">
        <v>2.5</v>
      </c>
      <c r="D12" s="24">
        <v>80000</v>
      </c>
      <c r="E12" s="20">
        <v>2.2000000000000002</v>
      </c>
      <c r="F12" s="21">
        <f>SUM(C12-E12)</f>
        <v>0.29999999999999982</v>
      </c>
      <c r="G12" s="12">
        <f>F12/E12</f>
        <v>0.13636363636363627</v>
      </c>
    </row>
    <row r="13" spans="1:9" x14ac:dyDescent="0.2">
      <c r="A13" s="16" t="s">
        <v>21</v>
      </c>
      <c r="B13" s="22">
        <v>13000</v>
      </c>
      <c r="C13" s="23">
        <v>7.75</v>
      </c>
      <c r="D13" s="24">
        <v>100750</v>
      </c>
      <c r="E13" s="20">
        <v>6.1</v>
      </c>
      <c r="F13" s="21">
        <f t="shared" ref="F13:F27" si="0">SUM(C13-E13)</f>
        <v>1.6500000000000004</v>
      </c>
      <c r="G13" s="12">
        <f t="shared" ref="G13:G27" si="1">F13/E13</f>
        <v>0.2704918032786886</v>
      </c>
    </row>
    <row r="14" spans="1:9" x14ac:dyDescent="0.2">
      <c r="A14" s="16" t="s">
        <v>22</v>
      </c>
      <c r="B14" s="22">
        <v>4200</v>
      </c>
      <c r="C14" s="23">
        <v>10.5</v>
      </c>
      <c r="D14" s="24">
        <v>44100</v>
      </c>
      <c r="E14" s="20">
        <v>8.1</v>
      </c>
      <c r="F14" s="21">
        <f t="shared" si="0"/>
        <v>2.4000000000000004</v>
      </c>
      <c r="G14" s="12">
        <f t="shared" si="1"/>
        <v>0.29629629629629634</v>
      </c>
    </row>
    <row r="15" spans="1:9" x14ac:dyDescent="0.2">
      <c r="A15" s="16" t="s">
        <v>23</v>
      </c>
      <c r="B15" s="22">
        <v>400</v>
      </c>
      <c r="C15" s="23">
        <v>145</v>
      </c>
      <c r="D15" s="24">
        <v>58000</v>
      </c>
      <c r="E15" s="20">
        <v>100</v>
      </c>
      <c r="F15" s="21">
        <f t="shared" si="0"/>
        <v>45</v>
      </c>
      <c r="G15" s="12">
        <f t="shared" si="1"/>
        <v>0.45</v>
      </c>
    </row>
    <row r="16" spans="1:9" x14ac:dyDescent="0.2">
      <c r="A16" s="16" t="s">
        <v>24</v>
      </c>
      <c r="B16" s="22">
        <v>8</v>
      </c>
      <c r="C16" s="23">
        <v>160</v>
      </c>
      <c r="D16" s="24">
        <v>1280</v>
      </c>
      <c r="E16" s="20">
        <v>110</v>
      </c>
      <c r="F16" s="21">
        <f t="shared" si="0"/>
        <v>50</v>
      </c>
      <c r="G16" s="12">
        <f t="shared" si="1"/>
        <v>0.45454545454545453</v>
      </c>
    </row>
    <row r="17" spans="1:7" x14ac:dyDescent="0.2">
      <c r="A17" s="16" t="s">
        <v>25</v>
      </c>
      <c r="B17" s="22">
        <v>20</v>
      </c>
      <c r="C17" s="23">
        <v>350</v>
      </c>
      <c r="D17" s="24">
        <v>7000</v>
      </c>
      <c r="E17" s="20">
        <v>300</v>
      </c>
      <c r="F17" s="21">
        <f t="shared" si="0"/>
        <v>50</v>
      </c>
      <c r="G17" s="12">
        <f t="shared" si="1"/>
        <v>0.16666666666666666</v>
      </c>
    </row>
    <row r="18" spans="1:7" x14ac:dyDescent="0.2">
      <c r="A18" s="16" t="s">
        <v>26</v>
      </c>
      <c r="B18" s="22">
        <v>400</v>
      </c>
      <c r="C18" s="23">
        <v>145</v>
      </c>
      <c r="D18" s="24">
        <v>58000</v>
      </c>
      <c r="E18" s="20">
        <v>100</v>
      </c>
      <c r="F18" s="21">
        <f t="shared" si="0"/>
        <v>45</v>
      </c>
      <c r="G18" s="12">
        <f t="shared" si="1"/>
        <v>0.45</v>
      </c>
    </row>
    <row r="19" spans="1:7" x14ac:dyDescent="0.2">
      <c r="A19" s="16" t="s">
        <v>27</v>
      </c>
      <c r="B19" s="22">
        <v>100</v>
      </c>
      <c r="C19" s="23">
        <v>240</v>
      </c>
      <c r="D19" s="24">
        <v>24000</v>
      </c>
      <c r="E19" s="20">
        <v>190</v>
      </c>
      <c r="F19" s="21">
        <f t="shared" si="0"/>
        <v>50</v>
      </c>
      <c r="G19" s="12">
        <f t="shared" si="1"/>
        <v>0.26315789473684209</v>
      </c>
    </row>
    <row r="20" spans="1:7" x14ac:dyDescent="0.2">
      <c r="A20" s="16" t="s">
        <v>28</v>
      </c>
      <c r="B20" s="22">
        <v>30</v>
      </c>
      <c r="C20" s="23">
        <v>240</v>
      </c>
      <c r="D20" s="24">
        <v>7200</v>
      </c>
      <c r="E20" s="20">
        <v>190</v>
      </c>
      <c r="F20" s="21">
        <f t="shared" si="0"/>
        <v>50</v>
      </c>
      <c r="G20" s="12">
        <f t="shared" si="1"/>
        <v>0.26315789473684209</v>
      </c>
    </row>
    <row r="21" spans="1:7" x14ac:dyDescent="0.2">
      <c r="A21" s="16" t="s">
        <v>29</v>
      </c>
      <c r="B21" s="22">
        <v>30</v>
      </c>
      <c r="C21" s="23">
        <v>240</v>
      </c>
      <c r="D21" s="24">
        <v>7200</v>
      </c>
      <c r="E21" s="20">
        <v>190</v>
      </c>
      <c r="F21" s="21">
        <f t="shared" si="0"/>
        <v>50</v>
      </c>
      <c r="G21" s="12">
        <f t="shared" si="1"/>
        <v>0.26315789473684209</v>
      </c>
    </row>
    <row r="22" spans="1:7" x14ac:dyDescent="0.2">
      <c r="A22" s="16" t="s">
        <v>30</v>
      </c>
      <c r="B22" s="22">
        <v>25</v>
      </c>
      <c r="C22" s="23">
        <v>100</v>
      </c>
      <c r="D22" s="24">
        <v>2500</v>
      </c>
      <c r="E22" s="20">
        <v>70</v>
      </c>
      <c r="F22" s="21">
        <f t="shared" si="0"/>
        <v>30</v>
      </c>
      <c r="G22" s="12">
        <f t="shared" si="1"/>
        <v>0.42857142857142855</v>
      </c>
    </row>
    <row r="23" spans="1:7" x14ac:dyDescent="0.2">
      <c r="A23" s="16" t="s">
        <v>31</v>
      </c>
      <c r="B23" s="22">
        <v>95000</v>
      </c>
      <c r="C23" s="23">
        <v>1.65</v>
      </c>
      <c r="D23" s="24">
        <v>156750</v>
      </c>
      <c r="E23" s="20">
        <v>1.3</v>
      </c>
      <c r="F23" s="21">
        <f t="shared" si="0"/>
        <v>0.34999999999999987</v>
      </c>
      <c r="G23" s="12">
        <f t="shared" si="1"/>
        <v>0.26923076923076911</v>
      </c>
    </row>
    <row r="24" spans="1:7" x14ac:dyDescent="0.2">
      <c r="A24" s="16" t="s">
        <v>32</v>
      </c>
      <c r="B24" s="22">
        <v>4500</v>
      </c>
      <c r="C24" s="23">
        <v>2.5</v>
      </c>
      <c r="D24" s="24">
        <v>11250</v>
      </c>
      <c r="E24" s="20">
        <v>3</v>
      </c>
      <c r="F24" s="21">
        <f t="shared" si="0"/>
        <v>-0.5</v>
      </c>
      <c r="G24" s="12">
        <f t="shared" si="1"/>
        <v>-0.16666666666666666</v>
      </c>
    </row>
    <row r="25" spans="1:7" ht="28.5" x14ac:dyDescent="0.2">
      <c r="A25" s="16" t="s">
        <v>33</v>
      </c>
      <c r="B25" s="22">
        <v>4500</v>
      </c>
      <c r="C25" s="23">
        <v>5.5</v>
      </c>
      <c r="D25" s="24">
        <v>24750</v>
      </c>
      <c r="E25" s="20">
        <v>6</v>
      </c>
      <c r="F25" s="21">
        <f t="shared" si="0"/>
        <v>-0.5</v>
      </c>
      <c r="G25" s="12">
        <f t="shared" si="1"/>
        <v>-8.3333333333333329E-2</v>
      </c>
    </row>
    <row r="26" spans="1:7" x14ac:dyDescent="0.2">
      <c r="A26" s="16" t="s">
        <v>34</v>
      </c>
      <c r="B26" s="22">
        <v>15</v>
      </c>
      <c r="C26" s="23">
        <v>250</v>
      </c>
      <c r="D26" s="24">
        <v>3750</v>
      </c>
      <c r="E26" s="20">
        <v>250</v>
      </c>
      <c r="F26" s="21">
        <f t="shared" si="0"/>
        <v>0</v>
      </c>
      <c r="G26" s="12">
        <f t="shared" si="1"/>
        <v>0</v>
      </c>
    </row>
    <row r="27" spans="1:7" x14ac:dyDescent="0.2">
      <c r="A27" s="16" t="s">
        <v>35</v>
      </c>
      <c r="B27" s="22">
        <v>10</v>
      </c>
      <c r="C27" s="23">
        <v>225</v>
      </c>
      <c r="D27" s="24">
        <v>2250</v>
      </c>
      <c r="E27" s="20">
        <v>150</v>
      </c>
      <c r="F27" s="21">
        <f t="shared" si="0"/>
        <v>75</v>
      </c>
      <c r="G27" s="12">
        <f t="shared" si="1"/>
        <v>0.5</v>
      </c>
    </row>
    <row r="28" spans="1:7" ht="15" x14ac:dyDescent="0.2">
      <c r="A28" s="15" t="s">
        <v>36</v>
      </c>
      <c r="B28" s="15" t="s">
        <v>37</v>
      </c>
      <c r="C28" s="17" t="s">
        <v>40</v>
      </c>
      <c r="D28" s="18">
        <v>588780</v>
      </c>
    </row>
    <row r="29" spans="1:7" ht="15" x14ac:dyDescent="0.2">
      <c r="A29" s="15"/>
      <c r="B29" s="15" t="s">
        <v>38</v>
      </c>
      <c r="C29" s="17" t="s">
        <v>40</v>
      </c>
      <c r="D29" s="19" t="s">
        <v>39</v>
      </c>
    </row>
  </sheetData>
  <mergeCells count="3">
    <mergeCell ref="C9:D9"/>
    <mergeCell ref="A11:D11"/>
    <mergeCell ref="E10:G10"/>
  </mergeCells>
  <pageMargins left="0.75" right="0.75" top="1" bottom="1" header="0.5" footer="0.5"/>
  <pageSetup orientation="portrait" r:id="rId1"/>
  <ignoredErrors>
    <ignoredError sqref="D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Kittell, Jennifer L</dc:creator>
  <cp:lastModifiedBy>Lamug, Cromwell A</cp:lastModifiedBy>
  <dcterms:created xsi:type="dcterms:W3CDTF">2023-02-28T16:35:42Z</dcterms:created>
  <dcterms:modified xsi:type="dcterms:W3CDTF">2023-03-06T13:35:16Z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2023-02-28T11:31:44Z</dcterms:created>
  <cp:revision>0</cp:revision>
</cp:coreProperties>
</file>