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abates_rcoc_org/Documents/Documents/GitHub/bidAnalysis/Paint_Long Lines/"/>
    </mc:Choice>
  </mc:AlternateContent>
  <xr:revisionPtr revIDLastSave="4" documentId="14_{0B670820-1CA2-447C-B763-5870912B4402}" xr6:coauthVersionLast="47" xr6:coauthVersionMax="47" xr10:uidLastSave="{1310F25C-4778-484B-AB5D-ED20A2AA9064}"/>
  <bookViews>
    <workbookView xWindow="28680" yWindow="-120" windowWidth="29040" windowHeight="1572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3" l="1"/>
  <c r="G18" i="3"/>
  <c r="G17" i="3"/>
  <c r="G16" i="3"/>
  <c r="G15" i="3"/>
  <c r="G14" i="3"/>
  <c r="G13" i="3"/>
  <c r="G12" i="3"/>
  <c r="G11" i="3"/>
  <c r="G10" i="3"/>
  <c r="F19" i="3"/>
  <c r="F18" i="3"/>
  <c r="F17" i="3"/>
  <c r="F16" i="3"/>
  <c r="F15" i="3"/>
  <c r="F14" i="3"/>
  <c r="F13" i="3"/>
  <c r="F12" i="3"/>
  <c r="F11" i="3"/>
  <c r="F10" i="3"/>
</calcChain>
</file>

<file path=xl/sharedStrings.xml><?xml version="1.0" encoding="utf-8"?>
<sst xmlns="http://schemas.openxmlformats.org/spreadsheetml/2006/main" count="56" uniqueCount="45">
  <si>
    <t>Solicitation Information</t>
  </si>
  <si>
    <t>Agency:</t>
  </si>
  <si>
    <t>Road Commission for Oakland County</t>
  </si>
  <si>
    <t>Number:</t>
  </si>
  <si>
    <t>Description:</t>
  </si>
  <si>
    <t>2026 County-Wide Pavement Marking Program. A contract for pavement striping in Oakland County, Michigan.</t>
  </si>
  <si>
    <t>Deadline:</t>
  </si>
  <si>
    <t>2026-03-24 15:00:00 UTC</t>
  </si>
  <si>
    <t>Location(s):</t>
  </si>
  <si>
    <t>Oakland, Michigan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</si>
  <si>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</si>
  <si>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</si>
  <si>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</si>
  <si>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</si>
  <si>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</si>
  <si>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</si>
  <si>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</si>
  <si>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</si>
  <si>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</si>
  <si>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</si>
  <si>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</si>
  <si>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</si>
  <si>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8110232 - Pavt Mrkg, Waterborne, 4 Inch, Yellow - Ft</t>
  </si>
  <si>
    <t>8110233 - Pavt Mrkg, Waterborne, 6 Inch, White - Ft</t>
  </si>
  <si>
    <t>8110351 - Witness, Log, $1,250.00 - Dlr</t>
  </si>
  <si>
    <t>8110450 - Recessing Pavt Mrkg, Longit - Ft</t>
  </si>
  <si>
    <t>8117001 -  _Pavt Mrkg, Sprayable Thermopl, 6 Inch, White, RCOC - Ft</t>
  </si>
  <si>
    <t>8117001 - _Pavt Mrkg, Sprayable Thermopl, 4 Inch, Yellow, RCOC - Ft</t>
  </si>
  <si>
    <t>8117001 - _Pavt Mrkg, Sprayable Thermopl, 8 Inch, White, RCOC - Ft</t>
  </si>
  <si>
    <t>8117001 - _Pavt Mrkg, Waterborne, Curb, 8 inch, Yellow - Ft</t>
  </si>
  <si>
    <t>8117050 - _Call Back, Mobilization - Ea</t>
  </si>
  <si>
    <t>8120210 - Pavt Mrkg, Longit, 6 Inch or Less Width, Rem - Ft</t>
  </si>
  <si>
    <t>10 Items</t>
  </si>
  <si>
    <t>Totals</t>
  </si>
  <si>
    <t/>
  </si>
  <si>
    <t>94126 - 2026 County-Wide Pavement Marking Program</t>
  </si>
  <si>
    <t>Notes: (color code)</t>
  </si>
  <si>
    <t>Low bid item meeting specifications</t>
  </si>
  <si>
    <t>Low bid Item not meeting specifications</t>
  </si>
  <si>
    <t>Price Comparison Information</t>
  </si>
  <si>
    <t>Bid Unit Price Comparison</t>
  </si>
  <si>
    <t>2025 Unit Price</t>
  </si>
  <si>
    <t>2025-2026 Unit Price Difference</t>
  </si>
  <si>
    <t>2025-2026 Percent Difference</t>
  </si>
  <si>
    <t>Engineer's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</si>
</sst>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\(#,##0.000\)"/>
    <numFmt numFmtId="165" formatCode="\$#,##0.000;\(\$#,##0.000\)"/>
    <numFmt numFmtId="166" formatCode="_(&quot;$&quot;* #,##0.000_);_(&quot;$&quot;* \(#,##0.000\);_(&quot;$&quot;* &quot;-&quot;???_);_(@_)"/>
    <numFmt numFmtId="167" formatCode="0.000%"/>
  </numFmts>
  <fonts count="11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1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CFFFF"/>
        <bgColor rgb="FFCC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4" fontId="0" fillId="0" borderId="0" xfId="0" applyNumberFormat="1" applyAlignment="1">
      <alignment vertical="top" wrapText="1" readingOrder="2"/>
    </xf>
    <xf numFmtId="165" fontId="0" fillId="0" borderId="0" xfId="0" applyNumberFormat="1" applyAlignment="1">
      <alignment vertical="top" wrapText="1" readingOrder="2"/>
    </xf>
    <xf numFmtId="165" fontId="0" fillId="7" borderId="0" xfId="0" applyNumberFormat="1" applyFill="1" applyAlignment="1">
      <alignment vertical="top" wrapText="1" readingOrder="2"/>
    </xf>
    <xf numFmtId="0" fontId="0" fillId="8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0" fillId="10" borderId="2" xfId="0" applyFont="1" applyFill="1" applyBorder="1" applyAlignment="1">
      <alignment horizontal="center" vertical="center" wrapText="1"/>
    </xf>
    <xf numFmtId="166" fontId="0" fillId="10" borderId="2" xfId="0" applyNumberFormat="1" applyFill="1" applyBorder="1"/>
    <xf numFmtId="167" fontId="0" fillId="10" borderId="2" xfId="0" applyNumberFormat="1" applyFill="1" applyBorder="1"/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0" fontId="9" fillId="10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WhiteSpace="0" workbookViewId="0">
      <selection sqref="A1:B1"/>
    </sheetView>
  </sheetViews>
  <sheetFormatPr defaultRowHeight="14.25" x14ac:dyDescent="0.2"/>
  <cols>
    <col min="1" max="1" width="48.625" bestFit="1" customWidth="1"/>
    <col min="2" max="2" width="117.75" bestFit="1" customWidth="1"/>
  </cols>
  <sheetData>
    <row r="1" spans="1:2" x14ac:dyDescent="0.2">
      <c r="A1" s="20" t="s">
        <v>0</v>
      </c>
      <c r="B1" s="20" t="s">
        <v>34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94126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  <row r="6" spans="1:2" ht="15" x14ac:dyDescent="0.2">
      <c r="A6" s="2" t="s">
        <v>8</v>
      </c>
    </row>
    <row r="7" spans="1:2" x14ac:dyDescent="0.2">
      <c r="A7" s="1" t="s">
        <v>34</v>
      </c>
      <c r="B7" s="1" t="s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WhiteSpace="0" workbookViewId="0">
      <selection sqref="A1:C1"/>
    </sheetView>
  </sheetViews>
  <sheetFormatPr defaultRowHeight="14.25" x14ac:dyDescent="0.2"/>
  <cols>
    <col min="1" max="1" width="27.5" bestFit="1" customWidth="1"/>
    <col min="2" max="2" width="42.875" bestFit="1" customWidth="1"/>
    <col min="3" max="3" width="18.75" bestFit="1" customWidth="1"/>
  </cols>
  <sheetData>
    <row r="1" spans="1:3" x14ac:dyDescent="0.2">
      <c r="A1" s="20" t="s">
        <v>10</v>
      </c>
      <c r="B1" s="20" t="s">
        <v>34</v>
      </c>
      <c r="C1" s="20" t="s">
        <v>34</v>
      </c>
    </row>
    <row r="2" spans="1:3" ht="15" x14ac:dyDescent="0.2">
      <c r="A2" s="3" t="s">
        <v>11</v>
      </c>
      <c r="B2" s="3" t="s">
        <v>12</v>
      </c>
      <c r="C2" s="3" t="s">
        <v>13</v>
      </c>
    </row>
    <row r="3" spans="1:3" x14ac:dyDescent="0.2">
      <c r="A3" s="1" t="s">
        <v>14</v>
      </c>
      <c r="B3" s="1" t="s">
        <v>15</v>
      </c>
      <c r="C3" s="1" t="s">
        <v>16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2"/>
  <sheetViews>
    <sheetView tabSelected="1" showWhiteSpace="0" workbookViewId="0">
      <selection activeCell="J30" sqref="J30"/>
    </sheetView>
  </sheetViews>
  <sheetFormatPr defaultRowHeight="14.25" x14ac:dyDescent="0.2"/>
  <cols>
    <col min="1" max="1" width="59.375" bestFit="1" customWidth="1"/>
    <col min="2" max="2" width="12.375" bestFit="1" customWidth="1"/>
    <col min="3" max="3" width="17.5" bestFit="1" customWidth="1"/>
    <col min="4" max="4" width="13.5" bestFit="1" customWidth="1"/>
    <col min="5" max="5" width="10.875" customWidth="1"/>
    <col min="6" max="6" width="11.25" customWidth="1"/>
    <col min="7" max="7" width="11.125" customWidth="1"/>
  </cols>
  <sheetData>
    <row r="2" spans="1:9" x14ac:dyDescent="0.2">
      <c r="A2" t="s">
        <v>35</v>
      </c>
    </row>
    <row r="3" spans="1:9" x14ac:dyDescent="0.2">
      <c r="E3" t="s">
        <v>36</v>
      </c>
    </row>
    <row r="4" spans="1:9" x14ac:dyDescent="0.2">
      <c r="E4" s="10"/>
      <c r="F4" s="11" t="s">
        <v>37</v>
      </c>
      <c r="G4" s="11"/>
      <c r="H4" s="11"/>
      <c r="I4" s="11"/>
    </row>
    <row r="5" spans="1:9" x14ac:dyDescent="0.2">
      <c r="E5" s="12"/>
      <c r="F5" s="11" t="s">
        <v>38</v>
      </c>
      <c r="G5" s="11"/>
      <c r="H5" s="11"/>
      <c r="I5" s="11"/>
    </row>
    <row r="6" spans="1:9" x14ac:dyDescent="0.2">
      <c r="E6" s="13"/>
      <c r="F6" s="11" t="s">
        <v>39</v>
      </c>
      <c r="G6" s="11"/>
      <c r="H6" s="11"/>
      <c r="I6" s="11"/>
    </row>
    <row r="7" spans="1:9" ht="15" x14ac:dyDescent="0.2">
      <c r="A7" s="4" t="s">
        <v>34</v>
      </c>
      <c r="B7" s="4" t="s">
        <v>34</v>
      </c>
      <c r="C7" s="17" t="s">
        <v>14</v>
      </c>
      <c r="D7" s="17" t="s">
        <v>34</v>
      </c>
    </row>
    <row r="8" spans="1:9" ht="15" x14ac:dyDescent="0.2">
      <c r="A8" s="6" t="s">
        <v>17</v>
      </c>
      <c r="B8" s="6" t="s">
        <v>18</v>
      </c>
      <c r="C8" s="6" t="s">
        <v>19</v>
      </c>
      <c r="D8" s="6" t="s">
        <v>20</v>
      </c>
      <c r="E8" s="19" t="s">
        <v>40</v>
      </c>
      <c r="F8" s="19"/>
      <c r="G8" s="19"/>
    </row>
    <row r="9" spans="1:9" ht="38.25" x14ac:dyDescent="0.2">
      <c r="A9" s="18" t="s">
        <v>21</v>
      </c>
      <c r="B9" s="18" t="s">
        <v>34</v>
      </c>
      <c r="C9" s="18" t="s">
        <v>34</v>
      </c>
      <c r="D9" s="18" t="s">
        <v>34</v>
      </c>
      <c r="E9" s="14" t="s">
        <v>41</v>
      </c>
      <c r="F9" s="14" t="s">
        <v>42</v>
      </c>
      <c r="G9" s="14" t="s">
        <v>43</v>
      </c>
    </row>
    <row r="10" spans="1:9" x14ac:dyDescent="0.2">
      <c r="A10" s="1" t="s">
        <v>22</v>
      </c>
      <c r="B10" s="7">
        <v>25000</v>
      </c>
      <c r="C10" s="8">
        <v>0.2</v>
      </c>
      <c r="D10" s="8">
        <v>5000</v>
      </c>
      <c r="E10" s="15">
        <v>0.15</v>
      </c>
      <c r="F10" s="15">
        <f>SUM(C10-E10)</f>
        <v>5.0000000000000017E-2</v>
      </c>
      <c r="G10" s="16">
        <f>SUM(F10/E10)</f>
        <v>0.33333333333333348</v>
      </c>
    </row>
    <row r="11" spans="1:9" x14ac:dyDescent="0.2">
      <c r="A11" s="1" t="s">
        <v>23</v>
      </c>
      <c r="B11" s="7">
        <v>25000</v>
      </c>
      <c r="C11" s="8">
        <v>0.25</v>
      </c>
      <c r="D11" s="8">
        <v>6250</v>
      </c>
      <c r="E11" s="15">
        <v>0.2</v>
      </c>
      <c r="F11" s="15">
        <f t="shared" ref="F11:F19" si="0">SUM(C11-E11)</f>
        <v>4.9999999999999989E-2</v>
      </c>
      <c r="G11" s="16">
        <f t="shared" ref="G11:G19" si="1">SUM(F11/E11)</f>
        <v>0.24999999999999994</v>
      </c>
    </row>
    <row r="12" spans="1:9" x14ac:dyDescent="0.2">
      <c r="A12" s="1" t="s">
        <v>24</v>
      </c>
      <c r="B12" s="7">
        <v>10</v>
      </c>
      <c r="C12" s="8">
        <v>1250</v>
      </c>
      <c r="D12" s="8">
        <v>12500</v>
      </c>
      <c r="E12" s="15">
        <v>1250</v>
      </c>
      <c r="F12" s="15">
        <f t="shared" si="0"/>
        <v>0</v>
      </c>
      <c r="G12" s="16">
        <f t="shared" si="1"/>
        <v>0</v>
      </c>
    </row>
    <row r="13" spans="1:9" x14ac:dyDescent="0.2">
      <c r="A13" s="1" t="s">
        <v>25</v>
      </c>
      <c r="B13" s="7">
        <v>10000</v>
      </c>
      <c r="C13" s="8">
        <v>1</v>
      </c>
      <c r="D13" s="8">
        <v>10000</v>
      </c>
      <c r="E13" s="15">
        <v>1</v>
      </c>
      <c r="F13" s="15">
        <f t="shared" si="0"/>
        <v>0</v>
      </c>
      <c r="G13" s="16">
        <f t="shared" si="1"/>
        <v>0</v>
      </c>
    </row>
    <row r="14" spans="1:9" x14ac:dyDescent="0.2">
      <c r="A14" s="1" t="s">
        <v>26</v>
      </c>
      <c r="B14" s="7">
        <v>7000000</v>
      </c>
      <c r="C14" s="8">
        <v>0.26</v>
      </c>
      <c r="D14" s="8">
        <v>1820000</v>
      </c>
      <c r="E14" s="15">
        <v>0.18</v>
      </c>
      <c r="F14" s="15">
        <f t="shared" si="0"/>
        <v>8.0000000000000016E-2</v>
      </c>
      <c r="G14" s="16">
        <f t="shared" si="1"/>
        <v>0.44444444444444453</v>
      </c>
    </row>
    <row r="15" spans="1:9" x14ac:dyDescent="0.2">
      <c r="A15" s="1" t="s">
        <v>27</v>
      </c>
      <c r="B15" s="7">
        <v>8000000</v>
      </c>
      <c r="C15" s="8">
        <v>0.19</v>
      </c>
      <c r="D15" s="8">
        <v>1520000</v>
      </c>
      <c r="E15" s="15">
        <v>0.25</v>
      </c>
      <c r="F15" s="15">
        <f t="shared" si="0"/>
        <v>-0.06</v>
      </c>
      <c r="G15" s="16">
        <f t="shared" si="1"/>
        <v>-0.24</v>
      </c>
    </row>
    <row r="16" spans="1:9" x14ac:dyDescent="0.2">
      <c r="A16" s="1" t="s">
        <v>28</v>
      </c>
      <c r="B16" s="7">
        <v>15000</v>
      </c>
      <c r="C16" s="8">
        <v>0.4</v>
      </c>
      <c r="D16" s="8">
        <v>6000</v>
      </c>
      <c r="E16" s="15">
        <v>0.4</v>
      </c>
      <c r="F16" s="15">
        <f t="shared" si="0"/>
        <v>0</v>
      </c>
      <c r="G16" s="16">
        <f t="shared" si="1"/>
        <v>0</v>
      </c>
    </row>
    <row r="17" spans="1:7" x14ac:dyDescent="0.2">
      <c r="A17" s="1" t="s">
        <v>29</v>
      </c>
      <c r="B17" s="7">
        <v>3500</v>
      </c>
      <c r="C17" s="8">
        <v>0.75</v>
      </c>
      <c r="D17" s="8">
        <v>2625</v>
      </c>
      <c r="E17" s="15">
        <v>0.45</v>
      </c>
      <c r="F17" s="15">
        <f t="shared" si="0"/>
        <v>0.3</v>
      </c>
      <c r="G17" s="16">
        <f t="shared" si="1"/>
        <v>0.66666666666666663</v>
      </c>
    </row>
    <row r="18" spans="1:7" x14ac:dyDescent="0.2">
      <c r="A18" s="1" t="s">
        <v>30</v>
      </c>
      <c r="B18" s="7">
        <v>10</v>
      </c>
      <c r="C18" s="8">
        <v>800</v>
      </c>
      <c r="D18" s="8">
        <v>8000</v>
      </c>
      <c r="E18" s="15">
        <v>700</v>
      </c>
      <c r="F18" s="15">
        <f t="shared" si="0"/>
        <v>100</v>
      </c>
      <c r="G18" s="16">
        <f t="shared" si="1"/>
        <v>0.14285714285714285</v>
      </c>
    </row>
    <row r="19" spans="1:7" x14ac:dyDescent="0.2">
      <c r="A19" s="1" t="s">
        <v>31</v>
      </c>
      <c r="B19" s="7">
        <v>20000</v>
      </c>
      <c r="C19" s="8">
        <v>1</v>
      </c>
      <c r="D19" s="8">
        <v>20000</v>
      </c>
      <c r="E19" s="15">
        <v>0.9</v>
      </c>
      <c r="F19" s="15">
        <f t="shared" si="0"/>
        <v>9.9999999999999978E-2</v>
      </c>
      <c r="G19" s="16">
        <f t="shared" si="1"/>
        <v>0.11111111111111108</v>
      </c>
    </row>
    <row r="20" spans="1:7" ht="15" x14ac:dyDescent="0.2">
      <c r="A20" s="6" t="s">
        <v>32</v>
      </c>
      <c r="B20" s="6" t="s">
        <v>33</v>
      </c>
      <c r="C20" s="5" t="s">
        <v>34</v>
      </c>
      <c r="D20" s="9">
        <v>3410375</v>
      </c>
    </row>
    <row r="22" spans="1:7" x14ac:dyDescent="0.2">
      <c r="C22" t="s">
        <v>44</v>
      </c>
      <c r="D22" s="8">
        <v>3187375</v>
      </c>
    </row>
  </sheetData>
  <mergeCells count="3">
    <mergeCell ref="C7:D7"/>
    <mergeCell ref="A9:D9"/>
    <mergeCell ref="E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Bates, Andrew</cp:lastModifiedBy>
  <cp:revision>0</cp:revision>
  <dcterms:created xsi:type="dcterms:W3CDTF">2026-03-24T11:31:38Z</dcterms:created>
  <dcterms:modified xsi:type="dcterms:W3CDTF">2026-04-30T14:11:38Z</dcterms:modified>
</cp:coreProperties>
</file>