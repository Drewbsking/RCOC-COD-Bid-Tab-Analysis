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Paint_Long Lines/"/>
    </mc:Choice>
  </mc:AlternateContent>
  <xr:revisionPtr revIDLastSave="6" documentId="14_{98D07ED0-1DF6-4CFE-90FD-E4A6B05A0599}" xr6:coauthVersionLast="47" xr6:coauthVersionMax="47" xr10:uidLastSave="{3A115258-B092-45DB-96F1-4A1B94EF3EF1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G17" i="3"/>
  <c r="G16" i="3"/>
  <c r="G15" i="3"/>
  <c r="G14" i="3"/>
  <c r="G13" i="3"/>
  <c r="G11" i="3"/>
  <c r="G10" i="3"/>
  <c r="G9" i="3"/>
  <c r="F18" i="3"/>
  <c r="F17" i="3"/>
  <c r="F16" i="3"/>
  <c r="F15" i="3"/>
  <c r="F14" i="3"/>
  <c r="F13" i="3"/>
  <c r="F11" i="3"/>
  <c r="F10" i="3"/>
  <c r="F9" i="3"/>
</calcChain>
</file>

<file path=xl/sharedStrings.xml><?xml version="1.0" encoding="utf-8"?>
<sst xmlns="http://schemas.openxmlformats.org/spreadsheetml/2006/main" count="60" uniqueCount="48">
  <si>
    <t>Solicitation Information</t>
  </si>
  <si>
    <t>Agency:</t>
  </si>
  <si>
    <t>Road Commission for Oakland County</t>
  </si>
  <si>
    <t>Number:</t>
  </si>
  <si>
    <t>Description:</t>
  </si>
  <si>
    <t xml:space="preserve">2024 COUNTY-WIDE PAVEMENT MARKING PROGRAM - A contract for pavement marking for various roads in Oakland County, Michigan.
</t>
  </si>
  <si>
    <t>Deadline:</t>
  </si>
  <si>
    <t>2024-02-20 16:00:00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</si>
  <si>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</si>
  <si>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</si>
  <si>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</si>
  <si>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</si>
  <si>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</si>
  <si>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</si>
  <si>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</si>
  <si>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</si>
  <si>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</si>
  <si>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</si>
  <si>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</si>
  <si>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</si>
  <si>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</si>
  <si>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</si>
  <si>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8110232 - Pavt Mrkg, Waterborne, 4 inch, Yellow - Ft</t>
  </si>
  <si>
    <t>8110233 - Pavt Mrkg, Waterborne, 6 inch, White - Ft</t>
  </si>
  <si>
    <t>8110351 - Witness, Log, $1,250.00 - Dlr</t>
  </si>
  <si>
    <t>8110450 - Recessing Pavt Mrkg, Longit - Ft</t>
  </si>
  <si>
    <t>8117001 - _Pavt Mrkg, Sprayable Thermopl, 4 inch, Yellow, RCOC - Ft</t>
  </si>
  <si>
    <t>8117001 - _Pavt Mrkg, Sprayable Thermopl, 6 inch, White, RCOC - Ft</t>
  </si>
  <si>
    <t>8117001 - _Pavt Mrkg, Sprayable Thermopl, 8 inch, White, RCOC - Ft</t>
  </si>
  <si>
    <t>8117001 - _Pavt Mrkg, Waterborne, Curb, 8 inch, Yellow - Ft</t>
  </si>
  <si>
    <t>8117050 - _Call Back, Mobilization - Ea</t>
  </si>
  <si>
    <t>8120210 - Pavt Mrkg, Longit, 6 inch or Less Width, Rem - Ft</t>
  </si>
  <si>
    <t>10 Items</t>
  </si>
  <si>
    <t>Totals</t>
  </si>
  <si>
    <t/>
  </si>
  <si>
    <t>February 20, 2024 / 11:00 AM</t>
  </si>
  <si>
    <t xml:space="preserve">2024 COUNTY-WIDE PAVEMENT MARKING PROGRAM - 
A contract for pavement marking for various roads in Oakland County, Michigan.
</t>
  </si>
  <si>
    <t>Notes: (color code)</t>
  </si>
  <si>
    <t>Low bid item meeting specifications</t>
  </si>
  <si>
    <t>Low bid Item not meeting specifications</t>
  </si>
  <si>
    <t>Price Comparison Information</t>
  </si>
  <si>
    <t>Bid Unit Price Comparison</t>
  </si>
  <si>
    <t>2023 Unit Price</t>
  </si>
  <si>
    <t>2023-2024 Unit Price Difference</t>
  </si>
  <si>
    <t>2023-2024 Percent Difference</t>
  </si>
  <si>
    <t>New Item</t>
  </si>
  <si>
    <t>Agengy Estimate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</si>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</sst>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&quot;$&quot;#,##0.000"/>
  </numFmts>
  <fonts count="12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1"/>
      <name val="Arial"/>
      <family val="1"/>
    </font>
    <font>
      <b/>
      <sz val="11"/>
      <name val="Arial"/>
      <family val="2"/>
    </font>
    <font>
      <i/>
      <sz val="11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 wrapText="1" readingOrder="1"/>
    </xf>
    <xf numFmtId="0" fontId="6" fillId="4" borderId="2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vertical="top" wrapText="1" readingOrder="1"/>
    </xf>
    <xf numFmtId="164" fontId="0" fillId="0" borderId="2" xfId="0" applyNumberFormat="1" applyBorder="1" applyAlignment="1">
      <alignment horizontal="center" vertical="top" wrapText="1" readingOrder="2"/>
    </xf>
    <xf numFmtId="44" fontId="0" fillId="0" borderId="2" xfId="1" applyFont="1" applyBorder="1" applyAlignment="1">
      <alignment vertical="top" readingOrder="2"/>
    </xf>
    <xf numFmtId="43" fontId="0" fillId="0" borderId="2" xfId="0" applyNumberFormat="1" applyBorder="1" applyAlignment="1">
      <alignment vertical="top" readingOrder="2"/>
    </xf>
    <xf numFmtId="0" fontId="0" fillId="0" borderId="4" xfId="0" applyBorder="1" applyAlignment="1">
      <alignment vertical="top" wrapText="1" readingOrder="1"/>
    </xf>
    <xf numFmtId="164" fontId="0" fillId="0" borderId="4" xfId="0" applyNumberFormat="1" applyBorder="1" applyAlignment="1">
      <alignment horizontal="center" vertical="top" wrapText="1" readingOrder="2"/>
    </xf>
    <xf numFmtId="43" fontId="0" fillId="0" borderId="4" xfId="0" applyNumberFormat="1" applyBorder="1" applyAlignment="1">
      <alignment vertical="top" readingOrder="2"/>
    </xf>
    <xf numFmtId="0" fontId="0" fillId="5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horizontal="center" vertical="center" wrapText="1"/>
    </xf>
    <xf numFmtId="165" fontId="0" fillId="7" borderId="2" xfId="0" applyNumberFormat="1" applyFill="1" applyBorder="1"/>
    <xf numFmtId="10" fontId="0" fillId="7" borderId="2" xfId="0" applyNumberFormat="1" applyFill="1" applyBorder="1"/>
    <xf numFmtId="165" fontId="0" fillId="7" borderId="2" xfId="0" applyNumberFormat="1" applyFill="1" applyBorder="1" applyAlignment="1">
      <alignment horizontal="center"/>
    </xf>
    <xf numFmtId="43" fontId="0" fillId="0" borderId="0" xfId="0" applyNumberFormat="1" applyAlignment="1">
      <alignment vertical="top" readingOrder="2"/>
    </xf>
    <xf numFmtId="0" fontId="11" fillId="0" borderId="0" xfId="0" applyFont="1"/>
    <xf numFmtId="44" fontId="0" fillId="5" borderId="2" xfId="1" applyFont="1" applyFill="1" applyBorder="1" applyAlignment="1">
      <alignment vertical="top" readingOrder="2"/>
    </xf>
    <xf numFmtId="43" fontId="0" fillId="5" borderId="2" xfId="0" applyNumberFormat="1" applyFill="1" applyBorder="1" applyAlignment="1">
      <alignment vertical="top" readingOrder="2"/>
    </xf>
    <xf numFmtId="43" fontId="0" fillId="5" borderId="4" xfId="0" applyNumberFormat="1" applyFill="1" applyBorder="1" applyAlignment="1">
      <alignment vertical="top" readingOrder="2"/>
    </xf>
    <xf numFmtId="0" fontId="8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vertical="top" wrapText="1" readingOrder="1"/>
    </xf>
    <xf numFmtId="44" fontId="8" fillId="0" borderId="3" xfId="1" applyFont="1" applyFill="1" applyBorder="1" applyAlignment="1">
      <alignment horizontal="center" vertical="top" readingOrder="2"/>
    </xf>
    <xf numFmtId="0" fontId="8" fillId="0" borderId="0" xfId="0" applyFont="1" applyAlignment="1">
      <alignment horizontal="left" wrapText="1"/>
    </xf>
    <xf numFmtId="0" fontId="6" fillId="0" borderId="5" xfId="0" applyFont="1" applyBorder="1" applyAlignment="1">
      <alignment horizontal="right" vertical="top" wrapText="1" readingOrder="1"/>
    </xf>
    <xf numFmtId="0" fontId="6" fillId="0" borderId="6" xfId="0" applyFont="1" applyBorder="1" applyAlignment="1">
      <alignment horizontal="right" vertical="top" wrapText="1" readingOrder="1"/>
    </xf>
    <xf numFmtId="0" fontId="5" fillId="0" borderId="8" xfId="0" applyFont="1" applyBorder="1" applyAlignment="1">
      <alignment horizontal="center" vertical="top" wrapText="1" readingOrder="1"/>
    </xf>
    <xf numFmtId="0" fontId="5" fillId="0" borderId="7" xfId="0" applyFont="1" applyBorder="1" applyAlignment="1">
      <alignment horizontal="center" vertical="top" wrapText="1" readingOrder="1"/>
    </xf>
    <xf numFmtId="0" fontId="1" fillId="2" borderId="0" xfId="0" applyFont="1" applyFill="1" applyAlignment="1">
      <alignment vertical="top" wrapText="1" readingOrder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OutlineSymbols="0" showWhiteSpace="0" workbookViewId="0">
      <selection activeCell="A2" sqref="A2:XFD5"/>
    </sheetView>
  </sheetViews>
  <sheetFormatPr defaultRowHeight="14.25" x14ac:dyDescent="0.2"/>
  <cols>
    <col min="1" max="1" width="23" bestFit="1" customWidth="1"/>
    <col min="2" max="2" width="97.75" bestFit="1" customWidth="1"/>
  </cols>
  <sheetData>
    <row r="1" spans="1:2" x14ac:dyDescent="0.2">
      <c r="A1" s="36" t="s">
        <v>0</v>
      </c>
      <c r="B1" s="36" t="s">
        <v>34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94124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34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OutlineSymbols="0" showWhiteSpace="0" workbookViewId="0">
      <selection sqref="A1:C1"/>
    </sheetView>
  </sheetViews>
  <sheetFormatPr defaultRowHeight="14.25" x14ac:dyDescent="0.2"/>
  <cols>
    <col min="1" max="1" width="17.875" bestFit="1" customWidth="1"/>
    <col min="2" max="2" width="32.75" bestFit="1" customWidth="1"/>
    <col min="3" max="3" width="15.25" bestFit="1" customWidth="1"/>
  </cols>
  <sheetData>
    <row r="1" spans="1:3" x14ac:dyDescent="0.2">
      <c r="A1" s="36" t="s">
        <v>10</v>
      </c>
      <c r="B1" s="36" t="s">
        <v>34</v>
      </c>
      <c r="C1" s="36" t="s">
        <v>34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ht="28.5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abSelected="1" showOutlineSymbols="0" showWhiteSpace="0" workbookViewId="0">
      <selection activeCell="C24" sqref="C24"/>
    </sheetView>
  </sheetViews>
  <sheetFormatPr defaultRowHeight="14.25" x14ac:dyDescent="0.2"/>
  <cols>
    <col min="1" max="1" width="59.375" bestFit="1" customWidth="1"/>
    <col min="2" max="2" width="14.25" bestFit="1" customWidth="1"/>
    <col min="3" max="3" width="9.125" bestFit="1" customWidth="1"/>
    <col min="4" max="4" width="12.625" bestFit="1" customWidth="1"/>
    <col min="5" max="5" width="10.25" customWidth="1"/>
    <col min="6" max="6" width="9.125" customWidth="1"/>
    <col min="7" max="7" width="12.625" customWidth="1"/>
  </cols>
  <sheetData>
    <row r="1" spans="1:9" x14ac:dyDescent="0.2">
      <c r="A1" t="s">
        <v>2</v>
      </c>
    </row>
    <row r="2" spans="1:9" ht="15" x14ac:dyDescent="0.25">
      <c r="A2" s="4">
        <v>94124</v>
      </c>
    </row>
    <row r="3" spans="1:9" ht="44.25" customHeight="1" x14ac:dyDescent="0.25">
      <c r="A3" s="31" t="s">
        <v>36</v>
      </c>
      <c r="B3" s="31"/>
      <c r="C3" s="31"/>
      <c r="D3" s="31"/>
      <c r="E3" t="s">
        <v>37</v>
      </c>
    </row>
    <row r="4" spans="1:9" ht="13.5" customHeight="1" x14ac:dyDescent="0.2">
      <c r="A4" t="s">
        <v>35</v>
      </c>
      <c r="E4" s="14"/>
      <c r="F4" s="15" t="s">
        <v>38</v>
      </c>
      <c r="G4" s="15"/>
      <c r="H4" s="15"/>
      <c r="I4" s="15"/>
    </row>
    <row r="5" spans="1:9" ht="14.25" customHeight="1" x14ac:dyDescent="0.2">
      <c r="E5" s="16"/>
      <c r="F5" s="15" t="s">
        <v>39</v>
      </c>
      <c r="G5" s="15"/>
      <c r="H5" s="15"/>
      <c r="I5" s="15"/>
    </row>
    <row r="6" spans="1:9" ht="12" customHeight="1" x14ac:dyDescent="0.2">
      <c r="A6" s="34" t="s">
        <v>34</v>
      </c>
      <c r="B6" s="35"/>
      <c r="C6" s="28" t="s">
        <v>14</v>
      </c>
      <c r="D6" s="28" t="s">
        <v>34</v>
      </c>
      <c r="E6" s="17"/>
      <c r="F6" s="15" t="s">
        <v>40</v>
      </c>
      <c r="G6" s="15"/>
      <c r="H6" s="15"/>
      <c r="I6" s="15"/>
    </row>
    <row r="7" spans="1:9" ht="15" customHeight="1" x14ac:dyDescent="0.2">
      <c r="A7" s="6" t="s">
        <v>17</v>
      </c>
      <c r="B7" s="6" t="s">
        <v>18</v>
      </c>
      <c r="C7" s="6" t="s">
        <v>19</v>
      </c>
      <c r="D7" s="6" t="s">
        <v>20</v>
      </c>
      <c r="E7" s="27" t="s">
        <v>41</v>
      </c>
      <c r="F7" s="27"/>
      <c r="G7" s="27"/>
    </row>
    <row r="8" spans="1:9" ht="71.25" x14ac:dyDescent="0.2">
      <c r="A8" s="29" t="s">
        <v>21</v>
      </c>
      <c r="B8" s="29" t="s">
        <v>34</v>
      </c>
      <c r="C8" s="29" t="s">
        <v>34</v>
      </c>
      <c r="D8" s="29" t="s">
        <v>34</v>
      </c>
      <c r="E8" s="18" t="s">
        <v>42</v>
      </c>
      <c r="F8" s="18" t="s">
        <v>43</v>
      </c>
      <c r="G8" s="18" t="s">
        <v>44</v>
      </c>
    </row>
    <row r="9" spans="1:9" x14ac:dyDescent="0.2">
      <c r="A9" s="7" t="s">
        <v>22</v>
      </c>
      <c r="B9" s="8">
        <v>30500</v>
      </c>
      <c r="C9" s="24">
        <v>0.1</v>
      </c>
      <c r="D9" s="9">
        <v>3050</v>
      </c>
      <c r="E9" s="19">
        <v>0.08</v>
      </c>
      <c r="F9" s="19">
        <f>SUM(C9-E9)</f>
        <v>2.0000000000000004E-2</v>
      </c>
      <c r="G9" s="20">
        <f>SUM(F9/E9)</f>
        <v>0.25000000000000006</v>
      </c>
    </row>
    <row r="10" spans="1:9" x14ac:dyDescent="0.2">
      <c r="A10" s="7" t="s">
        <v>23</v>
      </c>
      <c r="B10" s="8">
        <v>30000</v>
      </c>
      <c r="C10" s="25">
        <v>0.14000000000000001</v>
      </c>
      <c r="D10" s="10">
        <v>4200</v>
      </c>
      <c r="E10" s="19">
        <v>0.11</v>
      </c>
      <c r="F10" s="19">
        <f t="shared" ref="F10:F18" si="0">SUM(C10-E10)</f>
        <v>3.0000000000000013E-2</v>
      </c>
      <c r="G10" s="20">
        <f t="shared" ref="G10:G18" si="1">SUM(F10/E10)</f>
        <v>0.27272727272727282</v>
      </c>
    </row>
    <row r="11" spans="1:9" x14ac:dyDescent="0.2">
      <c r="A11" s="7" t="s">
        <v>24</v>
      </c>
      <c r="B11" s="8">
        <v>15</v>
      </c>
      <c r="C11" s="25">
        <v>1250</v>
      </c>
      <c r="D11" s="10">
        <v>18750</v>
      </c>
      <c r="E11" s="19">
        <v>750</v>
      </c>
      <c r="F11" s="19">
        <f t="shared" si="0"/>
        <v>500</v>
      </c>
      <c r="G11" s="20">
        <f t="shared" si="1"/>
        <v>0.66666666666666663</v>
      </c>
    </row>
    <row r="12" spans="1:9" x14ac:dyDescent="0.2">
      <c r="A12" s="7" t="s">
        <v>25</v>
      </c>
      <c r="B12" s="8">
        <v>10000</v>
      </c>
      <c r="C12" s="25">
        <v>1</v>
      </c>
      <c r="D12" s="10">
        <v>10000</v>
      </c>
      <c r="E12" s="21" t="s">
        <v>45</v>
      </c>
      <c r="F12" s="19" t="s">
        <v>45</v>
      </c>
      <c r="G12" s="20" t="s">
        <v>45</v>
      </c>
    </row>
    <row r="13" spans="1:9" x14ac:dyDescent="0.2">
      <c r="A13" s="7" t="s">
        <v>26</v>
      </c>
      <c r="B13" s="8">
        <v>8002000</v>
      </c>
      <c r="C13" s="25">
        <v>0.16</v>
      </c>
      <c r="D13" s="10">
        <v>1280320</v>
      </c>
      <c r="E13" s="19">
        <v>0.14000000000000001</v>
      </c>
      <c r="F13" s="19">
        <f t="shared" si="0"/>
        <v>1.999999999999999E-2</v>
      </c>
      <c r="G13" s="20">
        <f t="shared" si="1"/>
        <v>0.14285714285714277</v>
      </c>
    </row>
    <row r="14" spans="1:9" x14ac:dyDescent="0.2">
      <c r="A14" s="7" t="s">
        <v>27</v>
      </c>
      <c r="B14" s="8">
        <v>7205000</v>
      </c>
      <c r="C14" s="25">
        <v>0.23</v>
      </c>
      <c r="D14" s="10">
        <v>1657150</v>
      </c>
      <c r="E14" s="19">
        <v>0.21299999999999999</v>
      </c>
      <c r="F14" s="19">
        <f t="shared" si="0"/>
        <v>1.7000000000000015E-2</v>
      </c>
      <c r="G14" s="20">
        <f t="shared" si="1"/>
        <v>7.9812206572770023E-2</v>
      </c>
    </row>
    <row r="15" spans="1:9" x14ac:dyDescent="0.2">
      <c r="A15" s="7" t="s">
        <v>28</v>
      </c>
      <c r="B15" s="8">
        <v>20000</v>
      </c>
      <c r="C15" s="25">
        <v>0.31</v>
      </c>
      <c r="D15" s="10">
        <v>6200</v>
      </c>
      <c r="E15" s="19">
        <v>0.248</v>
      </c>
      <c r="F15" s="19">
        <f t="shared" si="0"/>
        <v>6.2E-2</v>
      </c>
      <c r="G15" s="20">
        <f t="shared" si="1"/>
        <v>0.25</v>
      </c>
    </row>
    <row r="16" spans="1:9" x14ac:dyDescent="0.2">
      <c r="A16" s="7" t="s">
        <v>29</v>
      </c>
      <c r="B16" s="8">
        <v>6000</v>
      </c>
      <c r="C16" s="25">
        <v>0.3</v>
      </c>
      <c r="D16" s="10">
        <v>1800</v>
      </c>
      <c r="E16" s="19">
        <v>0.25</v>
      </c>
      <c r="F16" s="19">
        <f t="shared" si="0"/>
        <v>4.9999999999999989E-2</v>
      </c>
      <c r="G16" s="20">
        <f t="shared" si="1"/>
        <v>0.19999999999999996</v>
      </c>
    </row>
    <row r="17" spans="1:7" x14ac:dyDescent="0.2">
      <c r="A17" s="7" t="s">
        <v>30</v>
      </c>
      <c r="B17" s="8">
        <v>12</v>
      </c>
      <c r="C17" s="25">
        <v>500</v>
      </c>
      <c r="D17" s="10">
        <v>6000</v>
      </c>
      <c r="E17" s="19">
        <v>500</v>
      </c>
      <c r="F17" s="19">
        <f t="shared" si="0"/>
        <v>0</v>
      </c>
      <c r="G17" s="20">
        <f t="shared" si="1"/>
        <v>0</v>
      </c>
    </row>
    <row r="18" spans="1:7" ht="15" thickBot="1" x14ac:dyDescent="0.25">
      <c r="A18" s="11" t="s">
        <v>31</v>
      </c>
      <c r="B18" s="12">
        <v>35000</v>
      </c>
      <c r="C18" s="26">
        <v>0.75</v>
      </c>
      <c r="D18" s="13">
        <v>26250</v>
      </c>
      <c r="E18" s="19">
        <v>0.5</v>
      </c>
      <c r="F18" s="19">
        <f t="shared" si="0"/>
        <v>0.25</v>
      </c>
      <c r="G18" s="20">
        <f t="shared" si="1"/>
        <v>0.5</v>
      </c>
    </row>
    <row r="19" spans="1:7" ht="15" customHeight="1" thickTop="1" x14ac:dyDescent="0.2">
      <c r="A19" s="32" t="s">
        <v>33</v>
      </c>
      <c r="B19" s="33"/>
      <c r="C19" s="30">
        <v>3013720</v>
      </c>
      <c r="D19" s="30"/>
    </row>
    <row r="20" spans="1:7" x14ac:dyDescent="0.2">
      <c r="A20" s="5" t="s">
        <v>32</v>
      </c>
    </row>
    <row r="21" spans="1:7" x14ac:dyDescent="0.2">
      <c r="B21" s="23" t="s">
        <v>46</v>
      </c>
      <c r="C21" t="s">
        <v>47</v>
      </c>
      <c r="D21" s="22">
        <v>2900090</v>
      </c>
    </row>
  </sheetData>
  <mergeCells count="7">
    <mergeCell ref="E7:G7"/>
    <mergeCell ref="C6:D6"/>
    <mergeCell ref="A8:D8"/>
    <mergeCell ref="C19:D19"/>
    <mergeCell ref="A3:D3"/>
    <mergeCell ref="A19:B19"/>
    <mergeCell ref="A6:B6"/>
  </mergeCells>
  <pageMargins left="0.25" right="0.25" top="0.5" bottom="0.5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Shannon</dc:creator>
  <cp:lastModifiedBy>Bates, Andrew</cp:lastModifiedBy>
  <cp:lastPrinted>2024-02-20T16:07:27Z</cp:lastPrinted>
  <dcterms:created xsi:type="dcterms:W3CDTF">2024-02-20T16:06:16Z</dcterms:created>
  <dcterms:modified xsi:type="dcterms:W3CDTF">2026-04-30T14:11:27Z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2024-02-20T11:03:20Z</dcterms:created>
  <cp:revision>0</cp:revision>
</cp:coreProperties>
</file>