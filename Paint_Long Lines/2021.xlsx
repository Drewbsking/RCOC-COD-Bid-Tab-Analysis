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coc-my.sharepoint.com/personal/abates_rcoc_org/Documents/Documents/GitHub/bidAnalysis/Paint_Long Lines/"/>
    </mc:Choice>
  </mc:AlternateContent>
  <xr:revisionPtr revIDLastSave="0" documentId="8_{48F0861C-E8DB-451A-A0B1-1F54D39E48AB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olicitation Information" sheetId="1" r:id="rId1"/>
    <sheet name="Bidders" sheetId="2" r:id="rId2"/>
    <sheet name="Item Lists" sheetId="3" r:id="rId3"/>
  </sheets>
  <definedNames>
    <definedName name="_xlnm.Print_Area" localSheetId="2">'Item Lists'!$A$1:$I$14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3" l="1"/>
  <c r="H4" i="3"/>
  <c r="H13" i="3"/>
  <c r="I13" i="3" s="1"/>
  <c r="H12" i="3"/>
  <c r="I12" i="3" s="1"/>
  <c r="H11" i="3"/>
  <c r="I11" i="3" s="1"/>
  <c r="H10" i="3"/>
  <c r="I10" i="3" s="1"/>
  <c r="H9" i="3"/>
  <c r="I9" i="3" s="1"/>
  <c r="H8" i="3"/>
  <c r="I8" i="3" s="1"/>
  <c r="H7" i="3"/>
  <c r="I7" i="3" s="1"/>
  <c r="H6" i="3"/>
  <c r="I6" i="3" s="1"/>
  <c r="H5" i="3"/>
  <c r="I5" i="3" s="1"/>
</calcChain>
</file>

<file path=xl/sharedStrings.xml><?xml version="1.0" encoding="utf-8"?>
<sst xmlns="http://schemas.openxmlformats.org/spreadsheetml/2006/main" count="58" uniqueCount="41">
  <si>
    <t>Solicitation Information</t>
  </si>
  <si>
    <t>Agency:</t>
  </si>
  <si>
    <t>Road Commission for Oakland County</t>
  </si>
  <si>
    <t>Number:</t>
  </si>
  <si>
    <t>94121-2021</t>
  </si>
  <si>
    <t>Description:</t>
  </si>
  <si>
    <t>A CONTRACT FOR PAVEMENT STRIPING ON VARIOUS ROADS LOCATED IN OAKLAND COUNTY, MICHIGAN.</t>
  </si>
  <si>
    <t>Deadline:</t>
  </si>
  <si>
    <t>2021-02-09 16:00:00 UTC</t>
  </si>
  <si>
    <t>Bidders</t>
  </si>
  <si>
    <t>Business Name</t>
  </si>
  <si>
    <t>Address</t>
  </si>
  <si>
    <t>Phone</t>
  </si>
  <si>
    <t>P.K. Contracting, Inc.</t>
  </si>
  <si>
    <t>1965 Barrett, Troy, MI 48084</t>
  </si>
  <si>
    <t>(248) 362-2130</t>
  </si>
  <si>
    <t>JV Contracting, Inc.</t>
  </si>
  <si>
    <t>7285 N. State Road, Goodrich, MI 48438</t>
  </si>
  <si>
    <t>(248) 308-6165</t>
  </si>
  <si>
    <t>Item</t>
  </si>
  <si>
    <t>Quantity</t>
  </si>
  <si>
    <t>Price</t>
  </si>
  <si>
    <t>Extension</t>
  </si>
  <si>
    <t>Schedule of Items (Itemized Bid Sheet)</t>
  </si>
  <si>
    <t>8110011 - Call Back ,Mobilization - Ea</t>
  </si>
  <si>
    <t>8110154 - Pavt Mrkg, Sprayable Thermopl, 4 inch, Yellow - Ft</t>
  </si>
  <si>
    <t>8110155 - Pavt Mrkg, Sprayable Thermopl, 6 inch, White - Ft</t>
  </si>
  <si>
    <t>8110157 - Pavt Mrkg, Sprayable Thermopl, 8 inch, White - Ft</t>
  </si>
  <si>
    <t>8110232 - Pavt Mrkg, Waterborne, 4 inch, Yellow - Ft</t>
  </si>
  <si>
    <t>8110233 - Pavt Mrkg, Waterborne, 6 inch, White - Ft</t>
  </si>
  <si>
    <t>8110450 - Recessing Pavt Mrkg, Longit - Ft</t>
  </si>
  <si>
    <t>8117001 - Pavt Mrkg, Waterborne, Curb, 8 Inch, Yellow - Ft</t>
  </si>
  <si>
    <t>8117050 - Witness, Log, $1,000.00 - Ea</t>
  </si>
  <si>
    <t>8120210 - Pavt Mrkg, Longit, 6 inch or Less Width, Rem - Ft</t>
  </si>
  <si>
    <t>10 Items</t>
  </si>
  <si>
    <t>Totals</t>
  </si>
  <si>
    <t/>
  </si>
  <si>
    <t>Bid Unit Price Comparison</t>
  </si>
  <si>
    <t>2020 Unit Price</t>
  </si>
  <si>
    <t>Unit Price Difference</t>
  </si>
  <si>
    <t>Percent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</si>
</sst>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\$#,##0.000;\(\$#,##0.000\)"/>
    <numFmt numFmtId="166" formatCode="#,##0.000"/>
    <numFmt numFmtId="167" formatCode="0.000"/>
  </numFmts>
  <fonts count="10" x14ac:knownFonts="1">
    <font>
      <sz val="11"/>
      <name val="Arial"/>
      <family val="1"/>
    </font>
    <font>
      <b/>
      <sz val="12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sz val="12"/>
      <name val="Arial"/>
      <family val="2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CCFFFF"/>
      </patternFill>
    </fill>
    <fill>
      <patternFill patternType="solid">
        <fgColor rgb="FF808080"/>
      </patternFill>
    </fill>
    <fill>
      <patternFill patternType="solid">
        <fgColor rgb="FFC0C0C0"/>
      </patternFill>
    </fill>
    <fill>
      <patternFill patternType="solid">
        <fgColor rgb="FFC0C0C0"/>
      </patternFill>
    </fill>
    <fill>
      <patternFill patternType="solid">
        <fgColor rgb="FFC0C0C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4" borderId="0" xfId="0" applyFont="1" applyFill="1" applyAlignment="1">
      <alignment horizontal="center" vertical="top" wrapText="1" readingOrder="1"/>
    </xf>
    <xf numFmtId="0" fontId="6" fillId="5" borderId="0" xfId="0" applyFont="1" applyFill="1" applyAlignment="1">
      <alignment vertical="top" wrapText="1" readingOrder="1"/>
    </xf>
    <xf numFmtId="0" fontId="7" fillId="6" borderId="0" xfId="0" applyFont="1" applyFill="1" applyAlignment="1">
      <alignment horizontal="center" vertical="top" wrapText="1" readingOrder="1"/>
    </xf>
    <xf numFmtId="165" fontId="0" fillId="7" borderId="0" xfId="0" applyNumberFormat="1" applyFill="1" applyAlignment="1">
      <alignment vertical="top" wrapText="1" readingOrder="2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40" fontId="8" fillId="0" borderId="4" xfId="0" applyNumberFormat="1" applyFont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40" fontId="9" fillId="8" borderId="5" xfId="0" applyNumberFormat="1" applyFont="1" applyFill="1" applyBorder="1" applyAlignment="1">
      <alignment horizontal="center" vertical="center" wrapText="1"/>
    </xf>
    <xf numFmtId="10" fontId="0" fillId="0" borderId="6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6" xfId="0" applyBorder="1" applyAlignment="1">
      <alignment vertical="top" wrapText="1" readingOrder="1"/>
    </xf>
    <xf numFmtId="164" fontId="0" fillId="0" borderId="6" xfId="0" applyNumberFormat="1" applyBorder="1" applyAlignment="1">
      <alignment vertical="top" wrapText="1" readingOrder="2"/>
    </xf>
    <xf numFmtId="165" fontId="0" fillId="9" borderId="6" xfId="0" applyNumberFormat="1" applyFill="1" applyBorder="1" applyAlignment="1">
      <alignment vertical="top" wrapText="1" readingOrder="2"/>
    </xf>
    <xf numFmtId="165" fontId="0" fillId="0" borderId="6" xfId="0" applyNumberFormat="1" applyBorder="1" applyAlignment="1">
      <alignment vertical="top" wrapText="1" readingOrder="2"/>
    </xf>
    <xf numFmtId="165" fontId="0" fillId="10" borderId="6" xfId="0" applyNumberFormat="1" applyFill="1" applyBorder="1" applyAlignment="1">
      <alignment vertical="top" wrapText="1" readingOrder="2"/>
    </xf>
    <xf numFmtId="3" fontId="0" fillId="0" borderId="6" xfId="0" applyNumberFormat="1" applyBorder="1" applyAlignment="1">
      <alignment horizontal="center"/>
    </xf>
    <xf numFmtId="165" fontId="0" fillId="9" borderId="6" xfId="0" applyNumberFormat="1" applyFill="1" applyBorder="1" applyAlignment="1">
      <alignment wrapText="1" readingOrder="2"/>
    </xf>
    <xf numFmtId="165" fontId="0" fillId="0" borderId="6" xfId="0" applyNumberFormat="1" applyBorder="1" applyAlignment="1">
      <alignment wrapText="1" readingOrder="2"/>
    </xf>
    <xf numFmtId="165" fontId="0" fillId="10" borderId="6" xfId="0" applyNumberFormat="1" applyFill="1" applyBorder="1" applyAlignment="1">
      <alignment wrapText="1" readingOrder="2"/>
    </xf>
    <xf numFmtId="0" fontId="5" fillId="4" borderId="0" xfId="0" applyFont="1" applyFill="1" applyAlignment="1">
      <alignment horizontal="center" vertical="top" wrapText="1" readingOrder="1"/>
    </xf>
    <xf numFmtId="0" fontId="2" fillId="3" borderId="0" xfId="0" applyFont="1" applyFill="1" applyAlignment="1">
      <alignment vertical="top" wrapText="1" readingOrder="1"/>
    </xf>
    <xf numFmtId="0" fontId="1" fillId="2" borderId="0" xfId="0" applyFont="1" applyFill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showOutlineSymbols="0" showWhiteSpace="0" workbookViewId="0">
      <selection sqref="A1:B1"/>
    </sheetView>
  </sheetViews>
  <sheetFormatPr defaultRowHeight="14.25" x14ac:dyDescent="0.2"/>
  <cols>
    <col min="1" max="1" width="23" bestFit="1" customWidth="1"/>
    <col min="2" max="2" width="86.75" bestFit="1" customWidth="1"/>
  </cols>
  <sheetData>
    <row r="1" spans="1:2" x14ac:dyDescent="0.2">
      <c r="A1" s="28" t="s">
        <v>0</v>
      </c>
      <c r="B1" s="28" t="s">
        <v>36</v>
      </c>
    </row>
    <row r="2" spans="1:2" ht="15" x14ac:dyDescent="0.2">
      <c r="A2" s="2" t="s">
        <v>1</v>
      </c>
      <c r="B2" t="s">
        <v>2</v>
      </c>
    </row>
    <row r="3" spans="1:2" ht="15" x14ac:dyDescent="0.2">
      <c r="A3" s="2" t="s">
        <v>3</v>
      </c>
      <c r="B3" t="s">
        <v>4</v>
      </c>
    </row>
    <row r="4" spans="1:2" ht="15" x14ac:dyDescent="0.2">
      <c r="A4" s="2" t="s">
        <v>5</v>
      </c>
      <c r="B4" t="s">
        <v>6</v>
      </c>
    </row>
    <row r="5" spans="1:2" ht="15" x14ac:dyDescent="0.2">
      <c r="A5" s="2" t="s">
        <v>7</v>
      </c>
      <c r="B5" t="s">
        <v>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showOutlineSymbols="0" showWhiteSpace="0" workbookViewId="0">
      <selection sqref="A1:C1"/>
    </sheetView>
  </sheetViews>
  <sheetFormatPr defaultRowHeight="14.25" x14ac:dyDescent="0.2"/>
  <cols>
    <col min="1" max="1" width="17.875" bestFit="1" customWidth="1"/>
    <col min="2" max="2" width="35" bestFit="1" customWidth="1"/>
    <col min="3" max="3" width="15.25" bestFit="1" customWidth="1"/>
  </cols>
  <sheetData>
    <row r="1" spans="1:3" x14ac:dyDescent="0.2">
      <c r="A1" s="28" t="s">
        <v>9</v>
      </c>
      <c r="B1" s="28" t="s">
        <v>36</v>
      </c>
      <c r="C1" s="28" t="s">
        <v>36</v>
      </c>
    </row>
    <row r="2" spans="1:3" ht="15" x14ac:dyDescent="0.2">
      <c r="A2" s="3" t="s">
        <v>10</v>
      </c>
      <c r="B2" s="3" t="s">
        <v>11</v>
      </c>
      <c r="C2" s="3" t="s">
        <v>12</v>
      </c>
    </row>
    <row r="3" spans="1:3" ht="28.5" x14ac:dyDescent="0.2">
      <c r="A3" s="1" t="s">
        <v>13</v>
      </c>
      <c r="B3" s="1" t="s">
        <v>14</v>
      </c>
      <c r="C3" s="1" t="s">
        <v>15</v>
      </c>
    </row>
    <row r="4" spans="1:3" x14ac:dyDescent="0.2">
      <c r="A4" s="1" t="s">
        <v>16</v>
      </c>
      <c r="B4" s="1" t="s">
        <v>17</v>
      </c>
      <c r="C4" s="1" t="s">
        <v>18</v>
      </c>
    </row>
  </sheetData>
  <mergeCells count="1">
    <mergeCell ref="A1:C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tabSelected="1" showOutlineSymbols="0" showWhiteSpace="0" workbookViewId="0">
      <selection activeCell="G4" sqref="G4"/>
    </sheetView>
  </sheetViews>
  <sheetFormatPr defaultRowHeight="14.25" x14ac:dyDescent="0.2"/>
  <cols>
    <col min="1" max="1" width="49.25" bestFit="1" customWidth="1"/>
    <col min="2" max="2" width="11.875" bestFit="1" customWidth="1"/>
    <col min="3" max="3" width="13" customWidth="1"/>
    <col min="4" max="4" width="15.25" customWidth="1"/>
    <col min="5" max="5" width="13" customWidth="1"/>
    <col min="6" max="6" width="15.25" customWidth="1"/>
    <col min="7" max="7" width="11.25" customWidth="1"/>
    <col min="8" max="8" width="12.125" customWidth="1"/>
    <col min="9" max="9" width="12" customWidth="1"/>
  </cols>
  <sheetData>
    <row r="1" spans="1:9" ht="15" x14ac:dyDescent="0.2">
      <c r="A1" s="4" t="s">
        <v>36</v>
      </c>
      <c r="B1" s="4" t="s">
        <v>36</v>
      </c>
      <c r="C1" s="26" t="s">
        <v>16</v>
      </c>
      <c r="D1" s="26" t="s">
        <v>36</v>
      </c>
      <c r="E1" s="26" t="s">
        <v>13</v>
      </c>
      <c r="F1" s="26" t="s">
        <v>36</v>
      </c>
    </row>
    <row r="2" spans="1:9" ht="15" x14ac:dyDescent="0.2">
      <c r="A2" s="6" t="s">
        <v>19</v>
      </c>
      <c r="B2" s="6" t="s">
        <v>20</v>
      </c>
      <c r="C2" s="6" t="s">
        <v>21</v>
      </c>
      <c r="D2" s="6" t="s">
        <v>22</v>
      </c>
      <c r="E2" s="6" t="s">
        <v>21</v>
      </c>
      <c r="F2" s="6" t="s">
        <v>22</v>
      </c>
      <c r="G2" s="8" t="s">
        <v>37</v>
      </c>
      <c r="H2" s="9"/>
      <c r="I2" s="10"/>
    </row>
    <row r="3" spans="1:9" ht="30" customHeight="1" x14ac:dyDescent="0.2">
      <c r="A3" s="27" t="s">
        <v>23</v>
      </c>
      <c r="B3" s="27" t="s">
        <v>36</v>
      </c>
      <c r="C3" s="27" t="s">
        <v>36</v>
      </c>
      <c r="D3" s="27" t="s">
        <v>36</v>
      </c>
      <c r="E3" s="27" t="s">
        <v>36</v>
      </c>
      <c r="F3" s="27" t="s">
        <v>36</v>
      </c>
      <c r="G3" s="11" t="s">
        <v>38</v>
      </c>
      <c r="H3" s="11" t="s">
        <v>39</v>
      </c>
      <c r="I3" s="12" t="s">
        <v>40</v>
      </c>
    </row>
    <row r="4" spans="1:9" x14ac:dyDescent="0.2">
      <c r="A4" s="17" t="s">
        <v>24</v>
      </c>
      <c r="B4" s="18">
        <v>30</v>
      </c>
      <c r="C4" s="19">
        <v>500</v>
      </c>
      <c r="D4" s="20">
        <v>15000</v>
      </c>
      <c r="E4" s="21">
        <v>250</v>
      </c>
      <c r="F4" s="20">
        <v>7500</v>
      </c>
      <c r="G4" s="16">
        <v>1000</v>
      </c>
      <c r="H4" s="22">
        <f>C4-G4</f>
        <v>-500</v>
      </c>
      <c r="I4" s="13">
        <f>H4/E4</f>
        <v>-2</v>
      </c>
    </row>
    <row r="5" spans="1:9" ht="28.5" x14ac:dyDescent="0.2">
      <c r="A5" s="17" t="s">
        <v>25</v>
      </c>
      <c r="B5" s="18">
        <v>8500000</v>
      </c>
      <c r="C5" s="23">
        <v>0.11</v>
      </c>
      <c r="D5" s="24">
        <v>935000</v>
      </c>
      <c r="E5" s="24">
        <v>0.127</v>
      </c>
      <c r="F5" s="24">
        <v>1079500</v>
      </c>
      <c r="G5" s="15">
        <v>0.123</v>
      </c>
      <c r="H5" s="14">
        <f t="shared" ref="H5:H13" si="0">C5-G5</f>
        <v>-1.2999999999999998E-2</v>
      </c>
      <c r="I5" s="13">
        <f t="shared" ref="I5:I13" si="1">H5/E5</f>
        <v>-0.10236220472440943</v>
      </c>
    </row>
    <row r="6" spans="1:9" ht="28.5" x14ac:dyDescent="0.2">
      <c r="A6" s="17" t="s">
        <v>26</v>
      </c>
      <c r="B6" s="18">
        <v>7000000</v>
      </c>
      <c r="C6" s="23">
        <v>0.154</v>
      </c>
      <c r="D6" s="24">
        <v>1078000</v>
      </c>
      <c r="E6" s="24">
        <v>0.16</v>
      </c>
      <c r="F6" s="24">
        <v>1120000</v>
      </c>
      <c r="G6" s="15">
        <v>0.16500000000000001</v>
      </c>
      <c r="H6" s="14">
        <f t="shared" si="0"/>
        <v>-1.100000000000001E-2</v>
      </c>
      <c r="I6" s="13">
        <f t="shared" si="1"/>
        <v>-6.8750000000000061E-2</v>
      </c>
    </row>
    <row r="7" spans="1:9" ht="28.5" x14ac:dyDescent="0.2">
      <c r="A7" s="17" t="s">
        <v>27</v>
      </c>
      <c r="B7" s="18">
        <v>6000</v>
      </c>
      <c r="C7" s="23">
        <v>0.25</v>
      </c>
      <c r="D7" s="24">
        <v>1500</v>
      </c>
      <c r="E7" s="25">
        <v>0.22</v>
      </c>
      <c r="F7" s="24">
        <v>1320</v>
      </c>
      <c r="G7" s="15">
        <v>0.25</v>
      </c>
      <c r="H7" s="14">
        <f t="shared" si="0"/>
        <v>0</v>
      </c>
      <c r="I7" s="13">
        <f t="shared" si="1"/>
        <v>0</v>
      </c>
    </row>
    <row r="8" spans="1:9" x14ac:dyDescent="0.2">
      <c r="A8" s="17" t="s">
        <v>28</v>
      </c>
      <c r="B8" s="18">
        <v>60000</v>
      </c>
      <c r="C8" s="19">
        <v>0.06</v>
      </c>
      <c r="D8" s="20">
        <v>3600</v>
      </c>
      <c r="E8" s="21">
        <v>0.05</v>
      </c>
      <c r="F8" s="20">
        <v>3000</v>
      </c>
      <c r="G8" s="15">
        <v>0.05</v>
      </c>
      <c r="H8" s="14">
        <f t="shared" si="0"/>
        <v>9.999999999999995E-3</v>
      </c>
      <c r="I8" s="13">
        <f t="shared" si="1"/>
        <v>0.1999999999999999</v>
      </c>
    </row>
    <row r="9" spans="1:9" x14ac:dyDescent="0.2">
      <c r="A9" s="17" t="s">
        <v>29</v>
      </c>
      <c r="B9" s="18">
        <v>50000</v>
      </c>
      <c r="C9" s="19">
        <v>0.06</v>
      </c>
      <c r="D9" s="20">
        <v>3000</v>
      </c>
      <c r="E9" s="20">
        <v>7.0000000000000007E-2</v>
      </c>
      <c r="F9" s="20">
        <v>3500</v>
      </c>
      <c r="G9" s="15">
        <v>7.0000000000000007E-2</v>
      </c>
      <c r="H9" s="14">
        <f t="shared" si="0"/>
        <v>-1.0000000000000009E-2</v>
      </c>
      <c r="I9" s="13">
        <f t="shared" si="1"/>
        <v>-0.14285714285714296</v>
      </c>
    </row>
    <row r="10" spans="1:9" x14ac:dyDescent="0.2">
      <c r="A10" s="17" t="s">
        <v>30</v>
      </c>
      <c r="B10" s="18">
        <v>6000</v>
      </c>
      <c r="C10" s="19">
        <v>0.75</v>
      </c>
      <c r="D10" s="20">
        <v>4500</v>
      </c>
      <c r="E10" s="20">
        <v>0.75</v>
      </c>
      <c r="F10" s="20">
        <v>4500</v>
      </c>
      <c r="G10" s="15">
        <v>0.75</v>
      </c>
      <c r="H10" s="14">
        <f t="shared" si="0"/>
        <v>0</v>
      </c>
      <c r="I10" s="13">
        <f t="shared" si="1"/>
        <v>0</v>
      </c>
    </row>
    <row r="11" spans="1:9" ht="28.5" x14ac:dyDescent="0.2">
      <c r="A11" s="17" t="s">
        <v>31</v>
      </c>
      <c r="B11" s="18">
        <v>6000</v>
      </c>
      <c r="C11" s="19">
        <v>0.5</v>
      </c>
      <c r="D11" s="20">
        <v>3000</v>
      </c>
      <c r="E11" s="20">
        <v>0.5</v>
      </c>
      <c r="F11" s="20">
        <v>3000</v>
      </c>
      <c r="G11" s="15">
        <v>0.5</v>
      </c>
      <c r="H11" s="14">
        <f t="shared" si="0"/>
        <v>0</v>
      </c>
      <c r="I11" s="13">
        <f t="shared" si="1"/>
        <v>0</v>
      </c>
    </row>
    <row r="12" spans="1:9" x14ac:dyDescent="0.2">
      <c r="A12" s="17" t="s">
        <v>32</v>
      </c>
      <c r="B12" s="18">
        <v>24</v>
      </c>
      <c r="C12" s="19">
        <v>200</v>
      </c>
      <c r="D12" s="20">
        <v>4800</v>
      </c>
      <c r="E12" s="20">
        <v>1000</v>
      </c>
      <c r="F12" s="20">
        <v>24000</v>
      </c>
      <c r="G12" s="16">
        <v>1000</v>
      </c>
      <c r="H12" s="22">
        <f t="shared" si="0"/>
        <v>-800</v>
      </c>
      <c r="I12" s="13">
        <f t="shared" si="1"/>
        <v>-0.8</v>
      </c>
    </row>
    <row r="13" spans="1:9" ht="28.5" x14ac:dyDescent="0.2">
      <c r="A13" s="17" t="s">
        <v>33</v>
      </c>
      <c r="B13" s="18">
        <v>60000</v>
      </c>
      <c r="C13" s="23">
        <v>0.35</v>
      </c>
      <c r="D13" s="24">
        <v>21000</v>
      </c>
      <c r="E13" s="24">
        <v>0.4</v>
      </c>
      <c r="F13" s="24">
        <v>24000</v>
      </c>
      <c r="G13" s="15">
        <v>0.5</v>
      </c>
      <c r="H13" s="14">
        <f t="shared" si="0"/>
        <v>-0.15000000000000002</v>
      </c>
      <c r="I13" s="13">
        <f t="shared" si="1"/>
        <v>-0.37500000000000006</v>
      </c>
    </row>
    <row r="14" spans="1:9" ht="15" x14ac:dyDescent="0.2">
      <c r="A14" s="6" t="s">
        <v>34</v>
      </c>
      <c r="B14" s="6" t="s">
        <v>35</v>
      </c>
      <c r="C14" s="5" t="s">
        <v>36</v>
      </c>
      <c r="D14" s="7">
        <v>2069400</v>
      </c>
      <c r="E14" s="5" t="s">
        <v>36</v>
      </c>
      <c r="F14" s="7">
        <v>2270320</v>
      </c>
    </row>
  </sheetData>
  <mergeCells count="3">
    <mergeCell ref="C1:D1"/>
    <mergeCell ref="E1:F1"/>
    <mergeCell ref="A3:F3"/>
  </mergeCells>
  <pageMargins left="0.75" right="0.75" top="1" bottom="1" header="0.5" footer="0.5"/>
  <pageSetup paperSize="3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00D0327927CC48AEA433B6F36EDF3A" ma:contentTypeVersion="10" ma:contentTypeDescription="Create a new document." ma:contentTypeScope="" ma:versionID="1cbe6d4e9b58574fd6f12d943f8283f5">
  <xsd:schema xmlns:xsd="http://www.w3.org/2001/XMLSchema" xmlns:xs="http://www.w3.org/2001/XMLSchema" xmlns:p="http://schemas.microsoft.com/office/2006/metadata/properties" xmlns:ns3="c3d35172-c562-41cf-8ffc-77e3e191bef3" targetNamespace="http://schemas.microsoft.com/office/2006/metadata/properties" ma:root="true" ma:fieldsID="943e56dbdd70ca502781aa2dca350e16" ns3:_="">
    <xsd:import namespace="c3d35172-c562-41cf-8ffc-77e3e191bef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d35172-c562-41cf-8ffc-77e3e191be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18E372-27B9-4A41-BFFD-69546EE8437C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c3d35172-c562-41cf-8ffc-77e3e191bef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92A6DDB-48C8-49E2-BE31-853CA294BD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C5CB13-1043-4962-80C6-A4B906E24A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d35172-c562-41cf-8ffc-77e3e191be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Solicitation Information</vt:lpstr>
      <vt:lpstr>Bidders</vt:lpstr>
      <vt:lpstr>Item Lists</vt:lpstr>
      <vt:lpstr>'Item Lists'!Print_Area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Kittell, Jennifer L</dc:creator>
  <cp:lastModifiedBy>Bates, Andrew</cp:lastModifiedBy>
  <cp:lastPrinted>2021-02-11T20:04:04Z</cp:lastPrinted>
  <dcterms:created xsi:type="dcterms:W3CDTF">2021-02-09T16:37:43Z</dcterms:created>
  <dcterms:modified xsi:type="dcterms:W3CDTF">2026-04-30T14:14:35Z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2021-02-09T11:36:37Z</dcterms:created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0x0101007700D0327927CC48AEA433B6F36EDF3A</vt:lpwstr>
  </property>
</Properties>
</file>