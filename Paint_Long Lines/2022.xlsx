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oc-my.sharepoint.com/personal/ddeneau_rcoc_org/Documents/Documents/Purchasing/2022/Pavement Markings/"/>
    </mc:Choice>
  </mc:AlternateContent>
  <xr:revisionPtr revIDLastSave="38" documentId="10_ncr:100000_{69F99220-FECD-4A34-9101-299BD397B279}" xr6:coauthVersionLast="47" xr6:coauthVersionMax="47" xr10:uidLastSave="{86DBA34F-0EC0-48F5-B031-033014B8E47B}"/>
  <bookViews>
    <workbookView xWindow="-108" yWindow="-108" windowWidth="30936" windowHeight="12576" activeTab="2" xr2:uid="{00000000-000D-0000-FFFF-FFFF00000000}"/>
  </bookViews>
  <sheets>
    <sheet name="Solicitation Information" sheetId="1" r:id="rId1"/>
    <sheet name="Bidders" sheetId="2" r:id="rId2"/>
    <sheet name="Item 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I11" i="3"/>
  <c r="I10" i="3"/>
  <c r="I9" i="3"/>
  <c r="I8" i="3"/>
  <c r="I7" i="3"/>
  <c r="I6" i="3"/>
  <c r="I5" i="3"/>
  <c r="I4" i="3"/>
  <c r="H13" i="3"/>
  <c r="H12" i="3"/>
  <c r="H11" i="3"/>
  <c r="H10" i="3"/>
  <c r="H9" i="3"/>
  <c r="H8" i="3"/>
  <c r="H7" i="3"/>
  <c r="H6" i="3"/>
  <c r="H5" i="3"/>
  <c r="H4" i="3"/>
</calcChain>
</file>

<file path=xl/sharedStrings.xml><?xml version="1.0" encoding="utf-8"?>
<sst xmlns="http://schemas.openxmlformats.org/spreadsheetml/2006/main" count="57" uniqueCount="40">
  <si>
    <t>Solicitation Information</t>
  </si>
  <si>
    <t>Agency:</t>
  </si>
  <si>
    <t>Road Commission for Oakland County</t>
  </si>
  <si>
    <t>Number:</t>
  </si>
  <si>
    <t>Description:</t>
  </si>
  <si>
    <t>A CONTRACT FOR PAVEMENT STRIPING FOR VARIOUS ROADS  IN OAKLAND COUNTY, MICHIGAN</t>
  </si>
  <si>
    <t>Deadline:</t>
  </si>
  <si>
    <t>2022-03-08 16:00:00 UTC</t>
  </si>
  <si>
    <t>Bidders</t>
  </si>
  <si>
    <t>Business Name</t>
  </si>
  <si>
    <t>Address</t>
  </si>
  <si>
    <t>Phone</t>
  </si>
  <si>
    <t>P.K. Contracting, Inc.</t>
  </si>
  <si>
    <t>1965 Barrett, Troy, MI 48084</t>
  </si>
  <si>
    <t>(248) 362-2130</t>
  </si>
  <si>
    <t>JV Contracting, Inc.</t>
  </si>
  <si>
    <t>7285 N. State Road, Goodrich, MI 48438</t>
  </si>
  <si>
    <t>(248) 308-6165</t>
  </si>
  <si>
    <t>Item</t>
  </si>
  <si>
    <t>Quantity</t>
  </si>
  <si>
    <t>Price</t>
  </si>
  <si>
    <t>Extension</t>
  </si>
  <si>
    <t>Schedule of Items (Itemized Bid Sheet)</t>
  </si>
  <si>
    <t>8110011 - Call Back, Mobilization - Ea</t>
  </si>
  <si>
    <t>8110154 - Pavt Mrkg, Sprayable Thermopl, 4 inch, Yellow - Ft</t>
  </si>
  <si>
    <t>8110155 - Pavt Mrkg, Sprayable Thermopl, 6 inch, White - Ft</t>
  </si>
  <si>
    <t>8110157 - Pavt Mrkg, Sprayable Thermopl, 8 inch, White - Ft</t>
  </si>
  <si>
    <t>8110232 - Pavt Mrkg, Waterborne, 4 inch, Yellow - Ft</t>
  </si>
  <si>
    <t>8110233 - Pavt Mrkg, Waterborne, 6 inch, White - Ft</t>
  </si>
  <si>
    <t>8110450 - Recessing Pavt Mrkg, Longit - Ft</t>
  </si>
  <si>
    <t>8117001 - _Pavt Mrkg, Waterborne, Curb, 8 Inch, Yellow - Ft</t>
  </si>
  <si>
    <t>8117050 - _Witness, Log,$1,000 - Ea</t>
  </si>
  <si>
    <t>8120210 - Pavt Mrkg, Longit, 6 inch or Less Width, Rem - Ft</t>
  </si>
  <si>
    <t>10 Items</t>
  </si>
  <si>
    <t>Totals</t>
  </si>
  <si>
    <t/>
  </si>
  <si>
    <t>Bid Unit Price Comparison</t>
  </si>
  <si>
    <t>Unit Price Difference</t>
  </si>
  <si>
    <t>Percent Difference</t>
  </si>
  <si>
    <t>2021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</si>
</sst>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#,##0.000;\(#,##0.000\)"/>
    <numFmt numFmtId="165" formatCode="\$#,##0.000;\(\$#,##0.000\)"/>
    <numFmt numFmtId="166" formatCode="0.000"/>
    <numFmt numFmtId="167" formatCode="#,##0.000"/>
    <numFmt numFmtId="170" formatCode="&quot;$&quot;#,##0.00"/>
  </numFmts>
  <fonts count="10" x14ac:knownFonts="1">
    <font>
      <sz val="11"/>
      <name val="Arial"/>
      <family val="1"/>
    </font>
    <font>
      <b/>
      <sz val="12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2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CCFFFF"/>
      </patternFill>
    </fill>
    <fill>
      <patternFill patternType="solid">
        <fgColor rgb="FF80808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4" borderId="0" xfId="0" applyFont="1" applyFill="1" applyAlignment="1">
      <alignment horizontal="center" vertical="top" wrapText="1" readingOrder="1"/>
    </xf>
    <xf numFmtId="0" fontId="6" fillId="5" borderId="0" xfId="0" applyFont="1" applyFill="1" applyAlignment="1">
      <alignment vertical="top" wrapText="1" readingOrder="1"/>
    </xf>
    <xf numFmtId="0" fontId="7" fillId="6" borderId="0" xfId="0" applyFont="1" applyFill="1" applyAlignment="1">
      <alignment horizontal="center" vertical="top" wrapText="1" readingOrder="1"/>
    </xf>
    <xf numFmtId="165" fontId="0" fillId="7" borderId="0" xfId="0" applyNumberFormat="1" applyFill="1" applyAlignment="1">
      <alignment vertical="top" wrapText="1" readingOrder="2"/>
    </xf>
    <xf numFmtId="0" fontId="1" fillId="2" borderId="0" xfId="0" applyFont="1" applyFill="1" applyAlignment="1">
      <alignment vertical="top" wrapText="1" readingOrder="1"/>
    </xf>
    <xf numFmtId="0" fontId="5" fillId="4" borderId="0" xfId="0" applyFont="1" applyFill="1" applyAlignment="1">
      <alignment horizontal="center" vertical="top" wrapText="1" readingOrder="1"/>
    </xf>
    <xf numFmtId="0" fontId="2" fillId="3" borderId="0" xfId="0" applyFont="1" applyFill="1" applyAlignment="1">
      <alignment vertical="top" wrapText="1" readingOrder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40" fontId="8" fillId="0" borderId="4" xfId="0" applyNumberFormat="1" applyFont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40" fontId="9" fillId="8" borderId="5" xfId="0" applyNumberFormat="1" applyFont="1" applyFill="1" applyBorder="1" applyAlignment="1">
      <alignment horizontal="center" vertical="center" wrapText="1"/>
    </xf>
    <xf numFmtId="44" fontId="0" fillId="8" borderId="6" xfId="0" applyNumberFormat="1" applyFill="1" applyBorder="1" applyAlignment="1">
      <alignment horizontal="center"/>
    </xf>
    <xf numFmtId="170" fontId="0" fillId="8" borderId="6" xfId="0" applyNumberFormat="1" applyFill="1" applyBorder="1" applyAlignment="1">
      <alignment horizontal="center"/>
    </xf>
    <xf numFmtId="10" fontId="0" fillId="8" borderId="6" xfId="0" applyNumberFormat="1" applyFill="1" applyBorder="1" applyAlignment="1">
      <alignment horizontal="center"/>
    </xf>
    <xf numFmtId="166" fontId="0" fillId="8" borderId="6" xfId="0" applyNumberFormat="1" applyFill="1" applyBorder="1" applyAlignment="1">
      <alignment horizontal="center"/>
    </xf>
    <xf numFmtId="167" fontId="0" fillId="8" borderId="6" xfId="0" applyNumberFormat="1" applyFill="1" applyBorder="1" applyAlignment="1">
      <alignment horizontal="center"/>
    </xf>
    <xf numFmtId="2" fontId="0" fillId="8" borderId="6" xfId="0" applyNumberFormat="1" applyFill="1" applyBorder="1" applyAlignment="1">
      <alignment horizontal="center"/>
    </xf>
    <xf numFmtId="4" fontId="0" fillId="8" borderId="6" xfId="0" applyNumberFormat="1" applyFill="1" applyBorder="1" applyAlignment="1">
      <alignment horizontal="center"/>
    </xf>
    <xf numFmtId="0" fontId="0" fillId="0" borderId="6" xfId="0" applyBorder="1" applyAlignment="1">
      <alignment vertical="top" wrapText="1" readingOrder="1"/>
    </xf>
    <xf numFmtId="164" fontId="0" fillId="0" borderId="6" xfId="0" applyNumberFormat="1" applyBorder="1" applyAlignment="1">
      <alignment vertical="top" wrapText="1" readingOrder="2"/>
    </xf>
    <xf numFmtId="165" fontId="0" fillId="9" borderId="6" xfId="0" applyNumberFormat="1" applyFill="1" applyBorder="1" applyAlignment="1">
      <alignment vertical="top" wrapText="1" readingOrder="2"/>
    </xf>
    <xf numFmtId="165" fontId="0" fillId="0" borderId="6" xfId="0" applyNumberFormat="1" applyBorder="1" applyAlignment="1">
      <alignment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OutlineSymbols="0" showWhiteSpace="0" workbookViewId="0">
      <selection sqref="A1:B1"/>
    </sheetView>
  </sheetViews>
  <sheetFormatPr defaultRowHeight="13.8" x14ac:dyDescent="0.25"/>
  <cols>
    <col min="1" max="1" width="23" bestFit="1" customWidth="1"/>
    <col min="2" max="2" width="80.09765625" bestFit="1" customWidth="1"/>
  </cols>
  <sheetData>
    <row r="1" spans="1:2" x14ac:dyDescent="0.25">
      <c r="A1" s="8" t="s">
        <v>0</v>
      </c>
      <c r="B1" s="8" t="s">
        <v>35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>
        <v>94122</v>
      </c>
    </row>
    <row r="4" spans="1:2" x14ac:dyDescent="0.25">
      <c r="A4" s="2" t="s">
        <v>4</v>
      </c>
      <c r="B4" t="s">
        <v>5</v>
      </c>
    </row>
    <row r="5" spans="1:2" x14ac:dyDescent="0.25">
      <c r="A5" s="2" t="s">
        <v>6</v>
      </c>
      <c r="B5" t="s">
        <v>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showOutlineSymbols="0" showWhiteSpace="0" workbookViewId="0">
      <selection sqref="A1:C1"/>
    </sheetView>
  </sheetViews>
  <sheetFormatPr defaultRowHeight="13.8" x14ac:dyDescent="0.25"/>
  <cols>
    <col min="1" max="1" width="17.8984375" bestFit="1" customWidth="1"/>
    <col min="2" max="2" width="35" bestFit="1" customWidth="1"/>
    <col min="3" max="3" width="15.19921875" bestFit="1" customWidth="1"/>
  </cols>
  <sheetData>
    <row r="1" spans="1:3" x14ac:dyDescent="0.25">
      <c r="A1" s="8" t="s">
        <v>8</v>
      </c>
      <c r="B1" s="8" t="s">
        <v>35</v>
      </c>
      <c r="C1" s="8" t="s">
        <v>35</v>
      </c>
    </row>
    <row r="2" spans="1:3" x14ac:dyDescent="0.25">
      <c r="A2" s="3" t="s">
        <v>9</v>
      </c>
      <c r="B2" s="3" t="s">
        <v>10</v>
      </c>
      <c r="C2" s="3" t="s">
        <v>11</v>
      </c>
    </row>
    <row r="3" spans="1:3" ht="27.6" x14ac:dyDescent="0.25">
      <c r="A3" s="1" t="s">
        <v>12</v>
      </c>
      <c r="B3" s="1" t="s">
        <v>13</v>
      </c>
      <c r="C3" s="1" t="s">
        <v>14</v>
      </c>
    </row>
    <row r="4" spans="1:3" x14ac:dyDescent="0.25">
      <c r="A4" s="1" t="s">
        <v>15</v>
      </c>
      <c r="B4" s="1" t="s">
        <v>16</v>
      </c>
      <c r="C4" s="1" t="s">
        <v>17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4"/>
  <sheetViews>
    <sheetView tabSelected="1" showOutlineSymbols="0" showWhiteSpace="0" zoomScale="130" zoomScaleNormal="130" workbookViewId="0">
      <selection activeCell="A3" sqref="A3:F3"/>
    </sheetView>
  </sheetViews>
  <sheetFormatPr defaultRowHeight="13.8" x14ac:dyDescent="0.25"/>
  <cols>
    <col min="1" max="1" width="49.19921875" bestFit="1" customWidth="1"/>
    <col min="2" max="2" width="13.19921875" customWidth="1"/>
    <col min="3" max="3" width="22.69921875" bestFit="1" customWidth="1"/>
    <col min="4" max="4" width="14.5" customWidth="1"/>
    <col min="5" max="5" width="21.09765625" bestFit="1" customWidth="1"/>
    <col min="6" max="6" width="15.5" customWidth="1"/>
    <col min="7" max="7" width="10.59765625" customWidth="1"/>
    <col min="8" max="8" width="11.3984375" customWidth="1"/>
    <col min="9" max="9" width="11.8984375" customWidth="1"/>
  </cols>
  <sheetData>
    <row r="1" spans="1:9" x14ac:dyDescent="0.25">
      <c r="A1" s="4" t="s">
        <v>35</v>
      </c>
      <c r="B1" s="4" t="s">
        <v>35</v>
      </c>
      <c r="C1" s="9" t="s">
        <v>12</v>
      </c>
      <c r="D1" s="9" t="s">
        <v>35</v>
      </c>
      <c r="E1" s="9" t="s">
        <v>15</v>
      </c>
      <c r="F1" s="9" t="s">
        <v>35</v>
      </c>
    </row>
    <row r="2" spans="1:9" ht="15" x14ac:dyDescent="0.25">
      <c r="A2" s="6" t="s">
        <v>18</v>
      </c>
      <c r="B2" s="6" t="s">
        <v>19</v>
      </c>
      <c r="C2" s="6" t="s">
        <v>20</v>
      </c>
      <c r="D2" s="6" t="s">
        <v>21</v>
      </c>
      <c r="E2" s="6" t="s">
        <v>20</v>
      </c>
      <c r="F2" s="6" t="s">
        <v>21</v>
      </c>
      <c r="G2" s="11" t="s">
        <v>36</v>
      </c>
      <c r="H2" s="12"/>
      <c r="I2" s="13"/>
    </row>
    <row r="3" spans="1:9" ht="31.2" x14ac:dyDescent="0.25">
      <c r="A3" s="10" t="s">
        <v>22</v>
      </c>
      <c r="B3" s="10" t="s">
        <v>35</v>
      </c>
      <c r="C3" s="10" t="s">
        <v>35</v>
      </c>
      <c r="D3" s="10" t="s">
        <v>35</v>
      </c>
      <c r="E3" s="10" t="s">
        <v>35</v>
      </c>
      <c r="F3" s="10" t="s">
        <v>35</v>
      </c>
      <c r="G3" s="14" t="s">
        <v>39</v>
      </c>
      <c r="H3" s="14" t="s">
        <v>37</v>
      </c>
      <c r="I3" s="15" t="s">
        <v>38</v>
      </c>
    </row>
    <row r="4" spans="1:9" x14ac:dyDescent="0.25">
      <c r="A4" s="23" t="s">
        <v>23</v>
      </c>
      <c r="B4" s="24">
        <v>20</v>
      </c>
      <c r="C4" s="25">
        <v>400</v>
      </c>
      <c r="D4" s="26">
        <v>8000</v>
      </c>
      <c r="E4" s="26">
        <v>1500</v>
      </c>
      <c r="F4" s="26">
        <v>30000</v>
      </c>
      <c r="G4" s="16">
        <v>500</v>
      </c>
      <c r="H4" s="17">
        <f>C4-G4</f>
        <v>-100</v>
      </c>
      <c r="I4" s="18">
        <f>H4/C4</f>
        <v>-0.25</v>
      </c>
    </row>
    <row r="5" spans="1:9" ht="27.6" x14ac:dyDescent="0.25">
      <c r="A5" s="23" t="s">
        <v>24</v>
      </c>
      <c r="B5" s="24">
        <v>8000000</v>
      </c>
      <c r="C5" s="25">
        <v>0.113</v>
      </c>
      <c r="D5" s="26">
        <v>904000</v>
      </c>
      <c r="E5" s="26">
        <v>0.13900000000000001</v>
      </c>
      <c r="F5" s="26">
        <v>1112000</v>
      </c>
      <c r="G5" s="19">
        <v>0.11</v>
      </c>
      <c r="H5" s="20">
        <f>C5-G5</f>
        <v>3.0000000000000027E-3</v>
      </c>
      <c r="I5" s="18">
        <f t="shared" ref="I5:I13" si="0">H5/C5</f>
        <v>2.6548672566371705E-2</v>
      </c>
    </row>
    <row r="6" spans="1:9" ht="27.6" x14ac:dyDescent="0.25">
      <c r="A6" s="23" t="s">
        <v>25</v>
      </c>
      <c r="B6" s="24">
        <v>7000000</v>
      </c>
      <c r="C6" s="25">
        <v>0.17799999999999999</v>
      </c>
      <c r="D6" s="26">
        <v>1246000</v>
      </c>
      <c r="E6" s="26">
        <v>0.18</v>
      </c>
      <c r="F6" s="26">
        <v>1260000</v>
      </c>
      <c r="G6" s="19">
        <v>5.3999999999999999E-2</v>
      </c>
      <c r="H6" s="20">
        <f>C6-G6</f>
        <v>0.124</v>
      </c>
      <c r="I6" s="18">
        <f t="shared" si="0"/>
        <v>0.6966292134831461</v>
      </c>
    </row>
    <row r="7" spans="1:9" ht="27.6" x14ac:dyDescent="0.25">
      <c r="A7" s="23" t="s">
        <v>26</v>
      </c>
      <c r="B7" s="24">
        <v>12500</v>
      </c>
      <c r="C7" s="25">
        <v>0.23799999999999999</v>
      </c>
      <c r="D7" s="26">
        <v>2975</v>
      </c>
      <c r="E7" s="26">
        <v>0.18</v>
      </c>
      <c r="F7" s="26">
        <v>2250</v>
      </c>
      <c r="G7" s="19">
        <v>0.25</v>
      </c>
      <c r="H7" s="20">
        <f>C7-G7</f>
        <v>-1.2000000000000011E-2</v>
      </c>
      <c r="I7" s="18">
        <f t="shared" si="0"/>
        <v>-5.0420168067226941E-2</v>
      </c>
    </row>
    <row r="8" spans="1:9" x14ac:dyDescent="0.25">
      <c r="A8" s="23" t="s">
        <v>27</v>
      </c>
      <c r="B8" s="24">
        <v>40000</v>
      </c>
      <c r="C8" s="25">
        <v>0.06</v>
      </c>
      <c r="D8" s="26">
        <v>2400</v>
      </c>
      <c r="E8" s="26">
        <v>0.08</v>
      </c>
      <c r="F8" s="26">
        <v>3200</v>
      </c>
      <c r="G8" s="19">
        <v>0.06</v>
      </c>
      <c r="H8" s="20">
        <f>C8-G8</f>
        <v>0</v>
      </c>
      <c r="I8" s="18">
        <f t="shared" si="0"/>
        <v>0</v>
      </c>
    </row>
    <row r="9" spans="1:9" x14ac:dyDescent="0.25">
      <c r="A9" s="23" t="s">
        <v>28</v>
      </c>
      <c r="B9" s="24">
        <v>30000</v>
      </c>
      <c r="C9" s="25">
        <v>0.08</v>
      </c>
      <c r="D9" s="26">
        <v>2400</v>
      </c>
      <c r="E9" s="26">
        <v>0.08</v>
      </c>
      <c r="F9" s="26">
        <v>2400</v>
      </c>
      <c r="G9" s="19">
        <v>0.06</v>
      </c>
      <c r="H9" s="20">
        <f>C9-G9</f>
        <v>2.0000000000000004E-2</v>
      </c>
      <c r="I9" s="18">
        <f t="shared" si="0"/>
        <v>0.25000000000000006</v>
      </c>
    </row>
    <row r="10" spans="1:9" x14ac:dyDescent="0.25">
      <c r="A10" s="23" t="s">
        <v>29</v>
      </c>
      <c r="B10" s="24">
        <v>5000</v>
      </c>
      <c r="C10" s="25">
        <v>0.65</v>
      </c>
      <c r="D10" s="26">
        <v>3250</v>
      </c>
      <c r="E10" s="26">
        <v>1.5</v>
      </c>
      <c r="F10" s="26">
        <v>7500</v>
      </c>
      <c r="G10" s="19">
        <v>0.75</v>
      </c>
      <c r="H10" s="20">
        <f>C10-G10</f>
        <v>-9.9999999999999978E-2</v>
      </c>
      <c r="I10" s="18">
        <f t="shared" si="0"/>
        <v>-0.1538461538461538</v>
      </c>
    </row>
    <row r="11" spans="1:9" ht="27.6" x14ac:dyDescent="0.25">
      <c r="A11" s="23" t="s">
        <v>30</v>
      </c>
      <c r="B11" s="24">
        <v>5000</v>
      </c>
      <c r="C11" s="25">
        <v>0.6</v>
      </c>
      <c r="D11" s="26">
        <v>3000</v>
      </c>
      <c r="E11" s="26">
        <v>0.25</v>
      </c>
      <c r="F11" s="26">
        <v>1250</v>
      </c>
      <c r="G11" s="19">
        <v>0.5</v>
      </c>
      <c r="H11" s="20">
        <f>C11-G11</f>
        <v>9.9999999999999978E-2</v>
      </c>
      <c r="I11" s="18">
        <f t="shared" si="0"/>
        <v>0.16666666666666663</v>
      </c>
    </row>
    <row r="12" spans="1:9" x14ac:dyDescent="0.25">
      <c r="A12" s="23" t="s">
        <v>31</v>
      </c>
      <c r="B12" s="24">
        <v>15</v>
      </c>
      <c r="C12" s="25">
        <v>300</v>
      </c>
      <c r="D12" s="26">
        <v>4500</v>
      </c>
      <c r="E12" s="26">
        <v>2000</v>
      </c>
      <c r="F12" s="26">
        <v>30000</v>
      </c>
      <c r="G12" s="21">
        <v>200</v>
      </c>
      <c r="H12" s="22">
        <f>C12-G12</f>
        <v>100</v>
      </c>
      <c r="I12" s="18">
        <f t="shared" si="0"/>
        <v>0.33333333333333331</v>
      </c>
    </row>
    <row r="13" spans="1:9" ht="27.6" x14ac:dyDescent="0.25">
      <c r="A13" s="23" t="s">
        <v>32</v>
      </c>
      <c r="B13" s="24">
        <v>33000</v>
      </c>
      <c r="C13" s="25">
        <v>0.4</v>
      </c>
      <c r="D13" s="26">
        <v>13200</v>
      </c>
      <c r="E13" s="26">
        <v>0.5</v>
      </c>
      <c r="F13" s="26">
        <v>16500</v>
      </c>
      <c r="G13" s="19">
        <v>0.35</v>
      </c>
      <c r="H13" s="20">
        <f>C13-G13</f>
        <v>5.0000000000000044E-2</v>
      </c>
      <c r="I13" s="18">
        <f t="shared" si="0"/>
        <v>0.12500000000000011</v>
      </c>
    </row>
    <row r="14" spans="1:9" x14ac:dyDescent="0.25">
      <c r="A14" s="6" t="s">
        <v>33</v>
      </c>
      <c r="B14" s="6" t="s">
        <v>34</v>
      </c>
      <c r="C14" s="5" t="s">
        <v>35</v>
      </c>
      <c r="D14" s="7">
        <v>2189725</v>
      </c>
      <c r="E14" s="5" t="s">
        <v>35</v>
      </c>
      <c r="F14" s="7">
        <v>2465100</v>
      </c>
    </row>
  </sheetData>
  <mergeCells count="3">
    <mergeCell ref="C1:D1"/>
    <mergeCell ref="E1:F1"/>
    <mergeCell ref="A3:F3"/>
  </mergeCells>
  <pageMargins left="0.75" right="0.75" top="1" bottom="1" header="0.5" footer="0.5"/>
  <pageSetup scale="65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Solicitation Information</vt:lpstr>
      <vt:lpstr>Bidders</vt:lpstr>
      <vt:lpstr>Item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Kittell, Jennifer L</dc:creator>
  <cp:lastModifiedBy>Deneau, Danielle</cp:lastModifiedBy>
  <cp:lastPrinted>2022-03-16T13:21:44Z</cp:lastPrinted>
  <dcterms:created xsi:type="dcterms:W3CDTF">2022-03-08T16:14:21Z</dcterms:created>
  <dcterms:modified xsi:type="dcterms:W3CDTF">2022-03-16T13:22:50Z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2022-03-08T11:11:28Z</dcterms:created>
  <cp:revision>0</cp:revision>
</cp:coreProperties>
</file>