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coc-my.sharepoint.com/personal/abates_rcoc_org/Documents/Documents/GitHub/bidAnalysis/Paint_Long Lines/"/>
    </mc:Choice>
  </mc:AlternateContent>
  <xr:revisionPtr revIDLastSave="4" documentId="14_{F0D40D41-AE62-4064-8372-59E127127EA1}" xr6:coauthVersionLast="47" xr6:coauthVersionMax="47" xr10:uidLastSave="{85F0240B-8BD1-4B77-B7E7-EC06A3179A9D}"/>
  <bookViews>
    <workbookView xWindow="28680" yWindow="-120" windowWidth="29040" windowHeight="15720" activeTab="2" xr2:uid="{00000000-000D-0000-FFFF-FFFF00000000}"/>
  </bookViews>
  <sheets>
    <sheet name="Solicitation Information" sheetId="1" r:id="rId1"/>
    <sheet name="Bidders" sheetId="2" r:id="rId2"/>
    <sheet name="Item Lis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0" i="3" l="1"/>
  <c r="G19" i="3"/>
  <c r="G18" i="3"/>
  <c r="G17" i="3"/>
  <c r="G16" i="3"/>
  <c r="G15" i="3"/>
  <c r="G14" i="3"/>
  <c r="G13" i="3"/>
  <c r="G12" i="3"/>
  <c r="F20" i="3"/>
  <c r="F19" i="3"/>
  <c r="F18" i="3"/>
  <c r="F17" i="3"/>
  <c r="F16" i="3"/>
  <c r="F15" i="3"/>
  <c r="F14" i="3"/>
  <c r="F13" i="3"/>
  <c r="F12" i="3"/>
</calcChain>
</file>

<file path=xl/sharedStrings.xml><?xml version="1.0" encoding="utf-8"?>
<sst xmlns="http://schemas.openxmlformats.org/spreadsheetml/2006/main" count="54" uniqueCount="43">
  <si>
    <t>Solicitation Information</t>
  </si>
  <si>
    <t>Agency:</t>
  </si>
  <si>
    <t>Road Commission for Oakland County</t>
  </si>
  <si>
    <t>Number:</t>
  </si>
  <si>
    <t>Description:</t>
  </si>
  <si>
    <t>A CONTRACT FOR PAVEMENT STRIPING FOR VARIOUS ROADS IN OAKLAND COUNTY, MICHIGAN</t>
  </si>
  <si>
    <t>Deadline:</t>
  </si>
  <si>
    <t>2023-02-28 16:00:00 UTC</t>
  </si>
  <si>
    <t>Bidders</t>
  </si>
  <si>
    <t>Business Name</t>
  </si>
  <si>
    <t>Address</t>
  </si>
  <si>
    <t>Phone</t>
  </si>
  <si>
    <t>P.K. Contracting, Inc.</t>
  </si>
  <si>
    <t>1965 Barrett Dr, Troy, MI 48084-5372</t>
  </si>
  <si>
    <t>(248) 362-2130</t>
  </si>
  <si>
    <t>Item</t>
  </si>
  <si>
    <t>Quantity</t>
  </si>
  <si>
    <t>Price</t>
  </si>
  <si>
    <t>Extension</t>
  </si>
  <si>
    <t>Schedule of Items (Itemized Bid Sheet)</t>
  </si>
  <si>
    <t>8110232 - Pavt Mrkg, Waterborne, 4 inch, Yellow - Ft</t>
  </si>
  <si>
    <t>8110233 - Pavt Mrkg, Waterborne, 6 inch, White - Ft</t>
  </si>
  <si>
    <t>8110351 - Witness, Log, $1,250.00 - Dlr</t>
  </si>
  <si>
    <t>8117001 - _Pavt Mrkg, Sprayable Thermopl, 4 inch, Yellow - Ft</t>
  </si>
  <si>
    <t>8117001 - _Pavt Mrkg, Sprayable Thermopl, 6 inch, White - Ft</t>
  </si>
  <si>
    <t>8117001 - _Pavt Mrkg, Sprayable Thermopl, 8 inch, Yellow - Ft</t>
  </si>
  <si>
    <t>8117001 - _Pavt Mrkg, Waterborne, Curb, 8 Inch, Yellow - Ft</t>
  </si>
  <si>
    <t>8117050 - _Call Back, Mobilization - Ea</t>
  </si>
  <si>
    <t>8120210 - Pavt Mrkg, Longit, 6 inch or Less Width, Rem - Ft</t>
  </si>
  <si>
    <t>9 Items</t>
  </si>
  <si>
    <t>Totals</t>
  </si>
  <si>
    <t>Agency Estimate</t>
  </si>
  <si>
    <t>$2,299,999.500</t>
  </si>
  <si>
    <t/>
  </si>
  <si>
    <t>94123 - 2023 County-Wide Striping Program</t>
  </si>
  <si>
    <t>2022 Unit Price</t>
  </si>
  <si>
    <t>2022-2023 Unit Price Difference</t>
  </si>
  <si>
    <t>2022-2023 Percent Difference</t>
  </si>
  <si>
    <t>Bid Unit Price Comparison</t>
  </si>
  <si>
    <t>Low bid item meeting specifications</t>
  </si>
  <si>
    <t>Low bid Item not meeting specifications</t>
  </si>
  <si>
    <t>Price Comparison Information</t>
  </si>
  <si>
    <t>Notes: (color code)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</si>
</sst>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;\(#,##0.000\)"/>
    <numFmt numFmtId="165" formatCode="\$#,##0.000;\(\$#,##0.000\)"/>
    <numFmt numFmtId="166" formatCode="&quot;$&quot;#,##0.000"/>
  </numFmts>
  <fonts count="12" x14ac:knownFonts="1">
    <font>
      <sz val="11"/>
      <name val="Arial"/>
      <family val="1"/>
    </font>
    <font>
      <b/>
      <sz val="12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2"/>
    </font>
    <font>
      <b/>
      <sz val="14"/>
      <name val="Arial"/>
      <family val="2"/>
    </font>
    <font>
      <sz val="11"/>
      <color indexed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CCFFFF"/>
      </patternFill>
    </fill>
    <fill>
      <patternFill patternType="solid">
        <fgColor rgb="FF808080"/>
      </patternFill>
    </fill>
    <fill>
      <patternFill patternType="solid">
        <fgColor rgb="FFC0C0C0"/>
      </patternFill>
    </fill>
    <fill>
      <patternFill patternType="solid">
        <fgColor rgb="FFC0C0C0"/>
      </patternFill>
    </fill>
    <fill>
      <patternFill patternType="solid">
        <fgColor rgb="FFC0C0C0"/>
      </patternFill>
    </fill>
    <fill>
      <patternFill patternType="solid">
        <fgColor rgb="FFC0C0C0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10" fillId="0" borderId="0" xfId="0" applyFont="1"/>
    <xf numFmtId="0" fontId="0" fillId="0" borderId="0" xfId="0" applyAlignment="1">
      <alignment horizontal="left"/>
    </xf>
    <xf numFmtId="0" fontId="0" fillId="9" borderId="0" xfId="0" applyFill="1" applyAlignment="1">
      <alignment vertical="center"/>
    </xf>
    <xf numFmtId="0" fontId="11" fillId="0" borderId="0" xfId="0" applyFont="1" applyAlignment="1">
      <alignment vertical="center"/>
    </xf>
    <xf numFmtId="0" fontId="0" fillId="10" borderId="0" xfId="0" applyFill="1" applyAlignment="1">
      <alignment vertical="center"/>
    </xf>
    <xf numFmtId="0" fontId="0" fillId="11" borderId="0" xfId="0" applyFill="1" applyAlignment="1">
      <alignment vertical="center"/>
    </xf>
    <xf numFmtId="0" fontId="9" fillId="11" borderId="2" xfId="0" applyFont="1" applyFill="1" applyBorder="1" applyAlignment="1">
      <alignment horizontal="center" vertical="center" wrapText="1"/>
    </xf>
    <xf numFmtId="166" fontId="0" fillId="11" borderId="2" xfId="0" applyNumberFormat="1" applyFill="1" applyBorder="1"/>
    <xf numFmtId="10" fontId="0" fillId="11" borderId="2" xfId="0" applyNumberFormat="1" applyFill="1" applyBorder="1"/>
    <xf numFmtId="0" fontId="9" fillId="11" borderId="3" xfId="0" applyFont="1" applyFill="1" applyBorder="1" applyAlignment="1">
      <alignment horizontal="center" vertical="center" wrapText="1"/>
    </xf>
    <xf numFmtId="166" fontId="0" fillId="11" borderId="3" xfId="0" applyNumberFormat="1" applyFill="1" applyBorder="1"/>
    <xf numFmtId="0" fontId="5" fillId="4" borderId="2" xfId="0" applyFont="1" applyFill="1" applyBorder="1" applyAlignment="1">
      <alignment horizontal="center" vertical="top" wrapText="1" readingOrder="1"/>
    </xf>
    <xf numFmtId="0" fontId="8" fillId="7" borderId="2" xfId="0" applyFont="1" applyFill="1" applyBorder="1" applyAlignment="1">
      <alignment horizontal="center" vertical="top" wrapText="1" readingOrder="1"/>
    </xf>
    <xf numFmtId="0" fontId="0" fillId="0" borderId="2" xfId="0" applyBorder="1" applyAlignment="1">
      <alignment vertical="top" wrapText="1" readingOrder="1"/>
    </xf>
    <xf numFmtId="164" fontId="0" fillId="0" borderId="2" xfId="0" applyNumberFormat="1" applyBorder="1" applyAlignment="1">
      <alignment vertical="top" wrapText="1" readingOrder="2"/>
    </xf>
    <xf numFmtId="165" fontId="0" fillId="9" borderId="2" xfId="0" applyNumberFormat="1" applyFill="1" applyBorder="1" applyAlignment="1">
      <alignment vertical="top" wrapText="1" readingOrder="2"/>
    </xf>
    <xf numFmtId="165" fontId="0" fillId="0" borderId="2" xfId="0" applyNumberFormat="1" applyBorder="1" applyAlignment="1">
      <alignment vertical="top" wrapText="1" readingOrder="2"/>
    </xf>
    <xf numFmtId="0" fontId="6" fillId="5" borderId="2" xfId="0" applyFont="1" applyFill="1" applyBorder="1" applyAlignment="1">
      <alignment vertical="top" wrapText="1" readingOrder="1"/>
    </xf>
    <xf numFmtId="165" fontId="0" fillId="8" borderId="2" xfId="0" applyNumberFormat="1" applyFill="1" applyBorder="1" applyAlignment="1">
      <alignment vertical="top" wrapText="1" readingOrder="2"/>
    </xf>
    <xf numFmtId="0" fontId="7" fillId="6" borderId="2" xfId="0" applyFont="1" applyFill="1" applyBorder="1" applyAlignment="1">
      <alignment horizontal="right" vertical="top" wrapText="1" readingOrder="1"/>
    </xf>
    <xf numFmtId="0" fontId="5" fillId="4" borderId="2" xfId="0" applyFont="1" applyFill="1" applyBorder="1" applyAlignment="1">
      <alignment horizontal="center" vertical="top" wrapText="1" readingOrder="1"/>
    </xf>
    <xf numFmtId="0" fontId="2" fillId="3" borderId="2" xfId="0" applyFont="1" applyFill="1" applyBorder="1" applyAlignment="1">
      <alignment horizontal="left" vertical="center" wrapText="1" readingOrder="1"/>
    </xf>
    <xf numFmtId="0" fontId="9" fillId="11" borderId="3" xfId="0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showOutlineSymbols="0" showWhiteSpace="0" workbookViewId="0">
      <selection sqref="A1:B1"/>
    </sheetView>
  </sheetViews>
  <sheetFormatPr defaultRowHeight="14.25" x14ac:dyDescent="0.2"/>
  <cols>
    <col min="1" max="1" width="23.125" bestFit="1" customWidth="1"/>
    <col min="2" max="2" width="79" bestFit="1" customWidth="1"/>
  </cols>
  <sheetData>
    <row r="1" spans="1:2" x14ac:dyDescent="0.2">
      <c r="A1" s="28" t="s">
        <v>0</v>
      </c>
      <c r="B1" s="28" t="s">
        <v>33</v>
      </c>
    </row>
    <row r="2" spans="1:2" ht="15" x14ac:dyDescent="0.2">
      <c r="A2" s="2" t="s">
        <v>1</v>
      </c>
      <c r="B2" t="s">
        <v>2</v>
      </c>
    </row>
    <row r="3" spans="1:2" ht="15" x14ac:dyDescent="0.2">
      <c r="A3" s="2" t="s">
        <v>3</v>
      </c>
      <c r="B3">
        <v>94123</v>
      </c>
    </row>
    <row r="4" spans="1:2" ht="15" x14ac:dyDescent="0.2">
      <c r="A4" s="2" t="s">
        <v>4</v>
      </c>
      <c r="B4" t="s">
        <v>5</v>
      </c>
    </row>
    <row r="5" spans="1:2" ht="15" x14ac:dyDescent="0.2">
      <c r="A5" s="2" t="s">
        <v>6</v>
      </c>
      <c r="B5" t="s">
        <v>7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showOutlineSymbols="0" showWhiteSpace="0" workbookViewId="0">
      <selection sqref="A1:C1"/>
    </sheetView>
  </sheetViews>
  <sheetFormatPr defaultRowHeight="14.25" x14ac:dyDescent="0.2"/>
  <cols>
    <col min="1" max="1" width="17.75" bestFit="1" customWidth="1"/>
    <col min="2" max="2" width="32.75" bestFit="1" customWidth="1"/>
    <col min="3" max="3" width="15.25" bestFit="1" customWidth="1"/>
  </cols>
  <sheetData>
    <row r="1" spans="1:3" x14ac:dyDescent="0.2">
      <c r="A1" s="28" t="s">
        <v>8</v>
      </c>
      <c r="B1" s="28" t="s">
        <v>33</v>
      </c>
      <c r="C1" s="28" t="s">
        <v>33</v>
      </c>
    </row>
    <row r="2" spans="1:3" ht="15" x14ac:dyDescent="0.2">
      <c r="A2" s="3" t="s">
        <v>9</v>
      </c>
      <c r="B2" s="3" t="s">
        <v>10</v>
      </c>
      <c r="C2" s="3" t="s">
        <v>11</v>
      </c>
    </row>
    <row r="3" spans="1:3" ht="28.5" x14ac:dyDescent="0.2">
      <c r="A3" s="1" t="s">
        <v>12</v>
      </c>
      <c r="B3" s="1" t="s">
        <v>13</v>
      </c>
      <c r="C3" s="1" t="s">
        <v>14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"/>
  <sheetViews>
    <sheetView tabSelected="1" showOutlineSymbols="0" showWhiteSpace="0" workbookViewId="0">
      <selection activeCell="I16" sqref="I16"/>
    </sheetView>
  </sheetViews>
  <sheetFormatPr defaultRowHeight="14.25" x14ac:dyDescent="0.2"/>
  <cols>
    <col min="1" max="1" width="52.625" bestFit="1" customWidth="1"/>
    <col min="2" max="2" width="15.5" bestFit="1" customWidth="1"/>
    <col min="3" max="3" width="8.375" bestFit="1" customWidth="1"/>
    <col min="4" max="4" width="13.5" bestFit="1" customWidth="1"/>
    <col min="6" max="7" width="10.875" customWidth="1"/>
  </cols>
  <sheetData>
    <row r="1" spans="1:9" x14ac:dyDescent="0.2">
      <c r="A1" t="s">
        <v>2</v>
      </c>
    </row>
    <row r="2" spans="1:9" ht="18" x14ac:dyDescent="0.25">
      <c r="A2" s="4" t="s">
        <v>34</v>
      </c>
    </row>
    <row r="4" spans="1:9" x14ac:dyDescent="0.2">
      <c r="E4" t="s">
        <v>42</v>
      </c>
    </row>
    <row r="5" spans="1:9" x14ac:dyDescent="0.2">
      <c r="E5" s="6"/>
      <c r="F5" s="7" t="s">
        <v>39</v>
      </c>
      <c r="G5" s="7"/>
      <c r="H5" s="7"/>
      <c r="I5" s="7"/>
    </row>
    <row r="6" spans="1:9" x14ac:dyDescent="0.2">
      <c r="E6" s="8"/>
      <c r="F6" s="7" t="s">
        <v>40</v>
      </c>
      <c r="G6" s="7"/>
      <c r="H6" s="7"/>
      <c r="I6" s="7"/>
    </row>
    <row r="7" spans="1:9" x14ac:dyDescent="0.2">
      <c r="E7" s="9"/>
      <c r="F7" s="7" t="s">
        <v>41</v>
      </c>
      <c r="G7" s="7"/>
      <c r="H7" s="7"/>
      <c r="I7" s="7"/>
    </row>
    <row r="9" spans="1:9" ht="15" x14ac:dyDescent="0.2">
      <c r="A9" s="15"/>
      <c r="B9" s="15" t="s">
        <v>33</v>
      </c>
      <c r="C9" s="24" t="s">
        <v>12</v>
      </c>
      <c r="D9" s="24" t="s">
        <v>33</v>
      </c>
    </row>
    <row r="10" spans="1:9" ht="15" x14ac:dyDescent="0.2">
      <c r="A10" s="16" t="s">
        <v>15</v>
      </c>
      <c r="B10" s="16" t="s">
        <v>16</v>
      </c>
      <c r="C10" s="16" t="s">
        <v>17</v>
      </c>
      <c r="D10" s="16" t="s">
        <v>18</v>
      </c>
      <c r="E10" s="26" t="s">
        <v>38</v>
      </c>
      <c r="F10" s="27"/>
      <c r="G10" s="27"/>
    </row>
    <row r="11" spans="1:9" ht="45" x14ac:dyDescent="0.2">
      <c r="A11" s="25" t="s">
        <v>19</v>
      </c>
      <c r="B11" s="25" t="s">
        <v>33</v>
      </c>
      <c r="C11" s="25" t="s">
        <v>33</v>
      </c>
      <c r="D11" s="25" t="s">
        <v>33</v>
      </c>
      <c r="E11" s="13" t="s">
        <v>35</v>
      </c>
      <c r="F11" s="10" t="s">
        <v>36</v>
      </c>
      <c r="G11" s="10" t="s">
        <v>37</v>
      </c>
    </row>
    <row r="12" spans="1:9" x14ac:dyDescent="0.2">
      <c r="A12" s="17" t="s">
        <v>20</v>
      </c>
      <c r="B12" s="18">
        <v>30000</v>
      </c>
      <c r="C12" s="19">
        <v>0.08</v>
      </c>
      <c r="D12" s="20">
        <v>2400</v>
      </c>
      <c r="E12" s="14">
        <v>0.06</v>
      </c>
      <c r="F12" s="11">
        <f>SUM(C12-E12)</f>
        <v>2.0000000000000004E-2</v>
      </c>
      <c r="G12" s="12">
        <f>SUM(F12/E12)</f>
        <v>0.33333333333333343</v>
      </c>
    </row>
    <row r="13" spans="1:9" x14ac:dyDescent="0.2">
      <c r="A13" s="17" t="s">
        <v>21</v>
      </c>
      <c r="B13" s="18">
        <v>30000</v>
      </c>
      <c r="C13" s="19">
        <v>0.11</v>
      </c>
      <c r="D13" s="20">
        <v>3300</v>
      </c>
      <c r="E13" s="14">
        <v>0.08</v>
      </c>
      <c r="F13" s="11">
        <f t="shared" ref="F13:F20" si="0">SUM(C13-E13)</f>
        <v>0.03</v>
      </c>
      <c r="G13" s="12">
        <f t="shared" ref="G13:G20" si="1">SUM(F13/E13)</f>
        <v>0.375</v>
      </c>
    </row>
    <row r="14" spans="1:9" x14ac:dyDescent="0.2">
      <c r="A14" s="17" t="s">
        <v>22</v>
      </c>
      <c r="B14" s="18">
        <v>14</v>
      </c>
      <c r="C14" s="19">
        <v>750</v>
      </c>
      <c r="D14" s="20">
        <v>10500</v>
      </c>
      <c r="E14" s="14">
        <v>300</v>
      </c>
      <c r="F14" s="11">
        <f t="shared" si="0"/>
        <v>450</v>
      </c>
      <c r="G14" s="12">
        <f t="shared" si="1"/>
        <v>1.5</v>
      </c>
    </row>
    <row r="15" spans="1:9" ht="28.5" x14ac:dyDescent="0.2">
      <c r="A15" s="17" t="s">
        <v>23</v>
      </c>
      <c r="B15" s="18">
        <v>8000000</v>
      </c>
      <c r="C15" s="19">
        <v>0.14000000000000001</v>
      </c>
      <c r="D15" s="20">
        <v>1120000</v>
      </c>
      <c r="E15" s="14">
        <v>0.113</v>
      </c>
      <c r="F15" s="11">
        <f t="shared" si="0"/>
        <v>2.700000000000001E-2</v>
      </c>
      <c r="G15" s="12">
        <f t="shared" si="1"/>
        <v>0.23893805309734523</v>
      </c>
    </row>
    <row r="16" spans="1:9" ht="28.5" x14ac:dyDescent="0.2">
      <c r="A16" s="17" t="s">
        <v>24</v>
      </c>
      <c r="B16" s="18">
        <v>7200000</v>
      </c>
      <c r="C16" s="19">
        <v>0.21299999999999999</v>
      </c>
      <c r="D16" s="20">
        <v>1533600</v>
      </c>
      <c r="E16" s="14">
        <v>0.17799999999999999</v>
      </c>
      <c r="F16" s="11">
        <f t="shared" si="0"/>
        <v>3.5000000000000003E-2</v>
      </c>
      <c r="G16" s="12">
        <f t="shared" si="1"/>
        <v>0.1966292134831461</v>
      </c>
    </row>
    <row r="17" spans="1:9" ht="28.5" x14ac:dyDescent="0.2">
      <c r="A17" s="17" t="s">
        <v>25</v>
      </c>
      <c r="B17" s="18">
        <v>21500</v>
      </c>
      <c r="C17" s="19">
        <v>0.28399999999999997</v>
      </c>
      <c r="D17" s="20">
        <v>6106</v>
      </c>
      <c r="E17" s="14">
        <v>0.23799999999999999</v>
      </c>
      <c r="F17" s="11">
        <f t="shared" si="0"/>
        <v>4.5999999999999985E-2</v>
      </c>
      <c r="G17" s="12">
        <f t="shared" si="1"/>
        <v>0.1932773109243697</v>
      </c>
    </row>
    <row r="18" spans="1:9" ht="28.5" x14ac:dyDescent="0.2">
      <c r="A18" s="17" t="s">
        <v>26</v>
      </c>
      <c r="B18" s="18">
        <v>6560</v>
      </c>
      <c r="C18" s="19">
        <v>0.25</v>
      </c>
      <c r="D18" s="20">
        <v>1640</v>
      </c>
      <c r="E18" s="14">
        <v>0.6</v>
      </c>
      <c r="F18" s="11">
        <f t="shared" si="0"/>
        <v>-0.35</v>
      </c>
      <c r="G18" s="12">
        <f t="shared" si="1"/>
        <v>-0.58333333333333337</v>
      </c>
    </row>
    <row r="19" spans="1:9" x14ac:dyDescent="0.2">
      <c r="A19" s="17" t="s">
        <v>27</v>
      </c>
      <c r="B19" s="18">
        <v>10</v>
      </c>
      <c r="C19" s="19">
        <v>500</v>
      </c>
      <c r="D19" s="20">
        <v>5000</v>
      </c>
      <c r="E19" s="14">
        <v>400</v>
      </c>
      <c r="F19" s="11">
        <f t="shared" si="0"/>
        <v>100</v>
      </c>
      <c r="G19" s="12">
        <f t="shared" si="1"/>
        <v>0.25</v>
      </c>
    </row>
    <row r="20" spans="1:9" ht="28.5" x14ac:dyDescent="0.2">
      <c r="A20" s="17" t="s">
        <v>28</v>
      </c>
      <c r="B20" s="18">
        <v>30000</v>
      </c>
      <c r="C20" s="19">
        <v>0.5</v>
      </c>
      <c r="D20" s="20">
        <v>15000</v>
      </c>
      <c r="E20" s="14">
        <v>0.4</v>
      </c>
      <c r="F20" s="11">
        <f t="shared" si="0"/>
        <v>9.9999999999999978E-2</v>
      </c>
      <c r="G20" s="12">
        <f t="shared" si="1"/>
        <v>0.24999999999999994</v>
      </c>
      <c r="I20" s="5"/>
    </row>
    <row r="21" spans="1:9" ht="15" x14ac:dyDescent="0.2">
      <c r="A21" s="16" t="s">
        <v>29</v>
      </c>
      <c r="B21" s="16" t="s">
        <v>30</v>
      </c>
      <c r="C21" s="21" t="s">
        <v>33</v>
      </c>
      <c r="D21" s="22">
        <v>2697546</v>
      </c>
    </row>
    <row r="22" spans="1:9" ht="15" x14ac:dyDescent="0.2">
      <c r="A22" s="16"/>
      <c r="B22" s="16" t="s">
        <v>31</v>
      </c>
      <c r="C22" s="21" t="s">
        <v>33</v>
      </c>
      <c r="D22" s="23" t="s">
        <v>32</v>
      </c>
    </row>
  </sheetData>
  <mergeCells count="3">
    <mergeCell ref="C9:D9"/>
    <mergeCell ref="A11:D11"/>
    <mergeCell ref="E10:G10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Solicitation Information</vt:lpstr>
      <vt:lpstr>Bidders</vt:lpstr>
      <vt:lpstr>Item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Kittell, Jennifer L</dc:creator>
  <cp:lastModifiedBy>Bates, Andrew</cp:lastModifiedBy>
  <dcterms:created xsi:type="dcterms:W3CDTF">2023-02-28T16:36:10Z</dcterms:created>
  <dcterms:modified xsi:type="dcterms:W3CDTF">2026-04-30T14:12:20Z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2023-02-28T11:34:13Z</dcterms:created>
  <cp:revision>0</cp:revision>
</cp:coreProperties>
</file>